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hidePivotFieldList="1" defaultThemeVersion="124226"/>
  <mc:AlternateContent xmlns:mc="http://schemas.openxmlformats.org/markup-compatibility/2006">
    <mc:Choice Requires="x15">
      <x15ac:absPath xmlns:x15ac="http://schemas.microsoft.com/office/spreadsheetml/2010/11/ac" url="C:\Users\HP\Desktop\HUNAISA\"/>
    </mc:Choice>
  </mc:AlternateContent>
  <xr:revisionPtr revIDLastSave="0" documentId="13_ncr:1_{7E4798E9-E16F-417F-A2DB-E0C15184B746}" xr6:coauthVersionLast="47" xr6:coauthVersionMax="47" xr10:uidLastSave="{00000000-0000-0000-0000-000000000000}"/>
  <bookViews>
    <workbookView xWindow="0" yWindow="0" windowWidth="19815" windowHeight="10920" activeTab="1" xr2:uid="{00000000-000D-0000-FFFF-FFFF00000000}"/>
  </bookViews>
  <sheets>
    <sheet name="PIVOT" sheetId="3" r:id="rId1"/>
    <sheet name="DASHBOARD" sheetId="4" r:id="rId2"/>
    <sheet name="DATA" sheetId="1" r:id="rId3"/>
  </sheets>
  <definedNames>
    <definedName name="Slicer_Category">#N/A</definedName>
    <definedName name="Slicer_month">#N/A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2" i="1" l="1"/>
  <c r="I33" i="1"/>
  <c r="H68"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2" i="1"/>
  <c r="D22" i="3"/>
  <c r="B22" i="3"/>
  <c r="H22" i="3"/>
  <c r="F22" i="3"/>
</calcChain>
</file>

<file path=xl/sharedStrings.xml><?xml version="1.0" encoding="utf-8"?>
<sst xmlns="http://schemas.openxmlformats.org/spreadsheetml/2006/main" count="560" uniqueCount="208">
  <si>
    <t>Order_ID</t>
  </si>
  <si>
    <t>Order_Date</t>
  </si>
  <si>
    <t>Customer</t>
  </si>
  <si>
    <t>Category</t>
  </si>
  <si>
    <t>Region</t>
  </si>
  <si>
    <t>Quantity</t>
  </si>
  <si>
    <t>Unit_Price</t>
  </si>
  <si>
    <t>Discount_%</t>
  </si>
  <si>
    <t>Payment_Mode</t>
  </si>
  <si>
    <t>Sales</t>
  </si>
  <si>
    <t>Cost</t>
  </si>
  <si>
    <t>Profit</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</si>
  <si>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</si>
  <si>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</si>
  <si>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</si>
  <si>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</si>
  <si>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</si>
  <si>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</si>
  <si>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</si>
  <si>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</si>
  <si>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</si>
  <si>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</si>
  <si>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</si>
  <si>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</si>
  <si>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</si>
  <si>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</si>
  <si>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</si>
  <si>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</si>
  <si>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</si>
  <si>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</si>
  <si>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</si>
  <si>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</si>
  <si>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</si>
  <si>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</si>
  <si>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</si>
  <si>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</si>
  <si>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</si>
  <si>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</si>
  <si>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</si>
  <si>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</si>
  <si>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</si>
  <si>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</si>
  <si>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</si>
  <si>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</si>
  <si>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</si>
  <si>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</si>
  <si>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</si>
  <si>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</si>
  <si>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</si>
  <si>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</si>
  <si>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</si>
  <si>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</si>
  <si>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</si>
  <si>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</si>
  <si>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</si>
  <si>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</si>
  <si>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</si>
  <si>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</si>
  <si>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</si>
  <si>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</si>
  <si>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</si>
  <si>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</si>
  <si>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</si>
  <si>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</si>
  <si>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</si>
  <si>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</si>
  <si>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</si>
  <si>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</si>
  <si>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</si>
  <si>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</si>
  <si>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</si>
  <si>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</si>
  <si>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</si>
  <si>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</si>
  <si>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</si>
  <si>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</si>
  <si>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</si>
  <si>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</si>
  <si>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</si>
  <si>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</si>
  <si>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</si>
  <si>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</si>
  <si>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</si>
  <si>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</si>
  <si>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</si>
  <si>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</si>
  <si>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</si>
  <si>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</si>
  <si>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</si>
  <si>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</si>
  <si>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</si>
  <si>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</si>
  <si>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C1001</t>
  </si>
  <si>
    <t>C1002</t>
  </si>
  <si>
    <t>C1003</t>
  </si>
  <si>
    <t>C1004</t>
  </si>
  <si>
    <t>C1005</t>
  </si>
  <si>
    <t>C1006</t>
  </si>
  <si>
    <t>C1007</t>
  </si>
  <si>
    <t>C1008</t>
  </si>
  <si>
    <t>C1009</t>
  </si>
  <si>
    <t>C1010</t>
  </si>
  <si>
    <t>C1011</t>
  </si>
  <si>
    <t>C1012</t>
  </si>
  <si>
    <t>C1013</t>
  </si>
  <si>
    <t>C1014</t>
  </si>
  <si>
    <t>C1015</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</si>
  <si>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</si>
  <si>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</si>
  <si>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</si>
  <si>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</si>
  <si>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</si>
  <si>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</si>
  <si>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</si>
  <si>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</si>
  <si>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</si>
  <si>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</si>
  <si>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</si>
  <si>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</si>
  <si>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</si>
  <si>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</si>
  <si>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</si>
  <si>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</si>
  <si>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</si>
  <si>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</si>
  <si>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</si>
  <si>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</si>
  <si>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</si>
  <si>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</si>
  <si>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</si>
  <si>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</si>
  <si>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</si>
  <si>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</si>
  <si>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</si>
  <si>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</si>
  <si>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</si>
  <si>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</si>
  <si>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</si>
  <si>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</si>
  <si>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</si>
  <si>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</si>
  <si>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</si>
  <si>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</si>
  <si>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</si>
  <si>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</si>
  <si>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</si>
  <si>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</si>
  <si>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</si>
  <si>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</si>
  <si>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</si>
  <si>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</si>
  <si>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</si>
  <si>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</si>
  <si>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</si>
  <si>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</si>
  <si>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</si>
  <si>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</si>
  <si>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</si>
  <si>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</si>
  <si>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</si>
  <si>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</si>
  <si>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C1072</t>
  </si>
  <si>
    <t>C1073</t>
  </si>
  <si>
    <t>C1074</t>
  </si>
  <si>
    <t>C1075</t>
  </si>
  <si>
    <t>C1076</t>
  </si>
  <si>
    <t>C1077</t>
  </si>
  <si>
    <t>C1078</t>
  </si>
  <si>
    <t>C1079</t>
  </si>
  <si>
    <t>C1080</t>
  </si>
  <si>
    <t>Monitor</t>
  </si>
  <si>
    <t>Headset</t>
  </si>
  <si>
    <t>Keyboard</t>
  </si>
  <si>
    <t>Mouse</t>
  </si>
  <si>
    <t>Laptop</t>
  </si>
  <si>
    <t xml:space="preserve">Mouse </t>
  </si>
  <si>
    <t>Electronics</t>
  </si>
  <si>
    <t>Accessories</t>
  </si>
  <si>
    <t>North</t>
  </si>
  <si>
    <t>East</t>
  </si>
  <si>
    <t>West</t>
  </si>
  <si>
    <t>South</t>
  </si>
  <si>
    <t>Cash</t>
  </si>
  <si>
    <t>UPI</t>
  </si>
  <si>
    <t>Net Banking</t>
  </si>
  <si>
    <t>Card</t>
  </si>
  <si>
    <t xml:space="preserve">Card </t>
  </si>
  <si>
    <t>C1016</t>
  </si>
  <si>
    <t>C1071</t>
  </si>
  <si>
    <t>month</t>
  </si>
  <si>
    <t>month.no</t>
  </si>
  <si>
    <t xml:space="preserve">profit margin % </t>
  </si>
  <si>
    <t>Row Labels</t>
  </si>
  <si>
    <t>Grand Total</t>
  </si>
  <si>
    <t>Sum of Sales</t>
  </si>
  <si>
    <t>Sum of Profit</t>
  </si>
  <si>
    <t>Count of Payment_Mode</t>
  </si>
  <si>
    <t>Sum of Quantity</t>
  </si>
  <si>
    <t>Count of Order_ID</t>
  </si>
  <si>
    <t>Count of Customer</t>
  </si>
  <si>
    <t/>
  </si>
  <si>
    <t>prodect</t>
  </si>
  <si>
    <t>January</t>
  </si>
  <si>
    <t>February</t>
  </si>
  <si>
    <t>March</t>
  </si>
  <si>
    <t>April</t>
  </si>
  <si>
    <t>May</t>
  </si>
  <si>
    <t>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</si>
</sst>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14" fontId="1" fillId="0" borderId="1" xfId="0" applyNumberFormat="1" applyFont="1" applyBorder="1" applyAlignment="1">
      <alignment horizontal="center" vertical="top"/>
    </xf>
    <xf numFmtId="0" fontId="1" fillId="0" borderId="0" xfId="0" applyFont="1"/>
    <xf numFmtId="4" fontId="0" fillId="0" borderId="0" xfId="0" applyNumberFormat="1"/>
    <xf numFmtId="4" fontId="1" fillId="0" borderId="0" xfId="0" applyNumberFormat="1" applyFont="1"/>
  </cellXfs>
  <cellStyles count="1">
    <cellStyle name="Normal" xfId="0" builtinId="0"/>
  </cellStyles>
  <dxfs count="12">
    <dxf>
      <font>
        <b/>
      </font>
    </dxf>
    <dxf>
      <font>
        <b/>
      </font>
    </dxf>
    <dxf>
      <font>
        <b/>
      </font>
    </dxf>
    <dxf>
      <numFmt numFmtId="4" formatCode="#,##0.00"/>
    </dxf>
    <dxf>
      <font>
        <b/>
      </font>
    </dxf>
    <dxf>
      <font>
        <b/>
      </font>
    </dxf>
    <dxf>
      <font>
        <b/>
      </font>
    </dxf>
    <dxf>
      <numFmt numFmtId="4" formatCode="#,##0.00"/>
    </dxf>
    <dxf>
      <numFmt numFmtId="4" formatCode="#,##0.00"/>
    </dxf>
    <dxf>
      <font>
        <b/>
      </font>
    </dxf>
    <dxf>
      <font>
        <b/>
      </font>
    </dxf>
    <dxf>
      <font>
        <b/>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PRFORMANCE DASHBOARD.xlsx]PIVOT!PivotTable5</c:name>
    <c:fmtId val="1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PROFIT</a:t>
            </a:r>
            <a:r>
              <a:rPr lang="en-US" b="1" baseline="0">
                <a:solidFill>
                  <a:schemeClr val="tx1"/>
                </a:solidFill>
              </a:rPr>
              <a:t>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PIVOT!$J$3</c:f>
              <c:strCache>
                <c:ptCount val="1"/>
                <c:pt idx="0">
                  <c:v>Total</c:v>
                </c:pt>
              </c:strCache>
            </c:strRef>
          </c:tx>
          <c:spPr>
            <a:solidFill>
              <a:schemeClr val="accent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PIVOT!$I$4:$I$8</c:f>
              <c:strCache>
                <c:ptCount val="4"/>
                <c:pt idx="0">
                  <c:v>East</c:v>
                </c:pt>
                <c:pt idx="1">
                  <c:v>North</c:v>
                </c:pt>
                <c:pt idx="2">
                  <c:v>South</c:v>
                </c:pt>
                <c:pt idx="3">
                  <c:v>West</c:v>
                </c:pt>
              </c:strCache>
            </c:strRef>
          </c:cat>
          <c:val>
            <c:numRef>
              <c:f>PIVOT!$J$4:$J$8</c:f>
              <c:numCache>
                <c:formatCode>General</c:formatCode>
                <c:ptCount val="4"/>
                <c:pt idx="0">
                  <c:v>195442.47999999992</c:v>
                </c:pt>
                <c:pt idx="1">
                  <c:v>162816.98000000004</c:v>
                </c:pt>
                <c:pt idx="2">
                  <c:v>199095.31</c:v>
                </c:pt>
                <c:pt idx="3">
                  <c:v>222648.75</c:v>
                </c:pt>
              </c:numCache>
            </c:numRef>
          </c:val>
          <c:extLst>
            <c:ext xmlns:c16="http://schemas.microsoft.com/office/drawing/2014/chart" uri="{C3380CC4-5D6E-409C-BE32-E72D297353CC}">
              <c16:uniqueId val="{00000002-9F9D-4E8A-85A4-AB9CB10001F3}"/>
            </c:ext>
          </c:extLst>
        </c:ser>
        <c:dLbls>
          <c:showLegendKey val="0"/>
          <c:showVal val="1"/>
          <c:showCatName val="0"/>
          <c:showSerName val="0"/>
          <c:showPercent val="0"/>
          <c:showBubbleSize val="0"/>
        </c:dLbls>
        <c:gapWidth val="150"/>
        <c:shape val="box"/>
        <c:axId val="1857354880"/>
        <c:axId val="1857357792"/>
        <c:axId val="0"/>
      </c:bar3DChart>
      <c:catAx>
        <c:axId val="1857354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57357792"/>
        <c:crosses val="autoZero"/>
        <c:auto val="1"/>
        <c:lblAlgn val="ctr"/>
        <c:lblOffset val="100"/>
        <c:noMultiLvlLbl val="0"/>
      </c:catAx>
      <c:valAx>
        <c:axId val="1857357792"/>
        <c:scaling>
          <c:orientation val="minMax"/>
        </c:scaling>
        <c:delete val="1"/>
        <c:axPos val="l"/>
        <c:numFmt formatCode="General" sourceLinked="1"/>
        <c:majorTickMark val="none"/>
        <c:minorTickMark val="none"/>
        <c:tickLblPos val="nextTo"/>
        <c:crossAx val="1857354880"/>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PRFORMANCE DASHBOARD.xlsx]PIVOT!PivotTable6</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CATOGORY</a:t>
            </a:r>
            <a:r>
              <a:rPr lang="en-US" b="1" baseline="0">
                <a:solidFill>
                  <a:schemeClr val="tx1"/>
                </a:solidFill>
              </a:rPr>
              <a:t> WISE PROFIT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PIVOT!$M$3</c:f>
              <c:strCache>
                <c:ptCount val="1"/>
                <c:pt idx="0">
                  <c:v>Total</c:v>
                </c:pt>
              </c:strCache>
            </c:strRef>
          </c:tx>
          <c:spPr>
            <a:solidFill>
              <a:schemeClr val="accent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PIVOT!$L$4:$L$6</c:f>
              <c:strCache>
                <c:ptCount val="2"/>
                <c:pt idx="0">
                  <c:v>Accessories</c:v>
                </c:pt>
                <c:pt idx="1">
                  <c:v>Electronics</c:v>
                </c:pt>
              </c:strCache>
            </c:strRef>
          </c:cat>
          <c:val>
            <c:numRef>
              <c:f>PIVOT!$M$4:$M$6</c:f>
              <c:numCache>
                <c:formatCode>General</c:formatCode>
                <c:ptCount val="2"/>
                <c:pt idx="0">
                  <c:v>68550.87</c:v>
                </c:pt>
                <c:pt idx="1">
                  <c:v>711452.65000000026</c:v>
                </c:pt>
              </c:numCache>
            </c:numRef>
          </c:val>
          <c:extLst>
            <c:ext xmlns:c16="http://schemas.microsoft.com/office/drawing/2014/chart" uri="{C3380CC4-5D6E-409C-BE32-E72D297353CC}">
              <c16:uniqueId val="{00000000-83E2-43AA-A5E2-CC0B202F805A}"/>
            </c:ext>
          </c:extLst>
        </c:ser>
        <c:dLbls>
          <c:showLegendKey val="0"/>
          <c:showVal val="1"/>
          <c:showCatName val="0"/>
          <c:showSerName val="0"/>
          <c:showPercent val="0"/>
          <c:showBubbleSize val="0"/>
        </c:dLbls>
        <c:gapWidth val="150"/>
        <c:shape val="box"/>
        <c:axId val="1903342560"/>
        <c:axId val="1903347552"/>
        <c:axId val="0"/>
      </c:bar3DChart>
      <c:catAx>
        <c:axId val="1903342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03347552"/>
        <c:crosses val="autoZero"/>
        <c:auto val="1"/>
        <c:lblAlgn val="ctr"/>
        <c:lblOffset val="100"/>
        <c:noMultiLvlLbl val="0"/>
      </c:catAx>
      <c:valAx>
        <c:axId val="1903347552"/>
        <c:scaling>
          <c:orientation val="minMax"/>
        </c:scaling>
        <c:delete val="1"/>
        <c:axPos val="l"/>
        <c:numFmt formatCode="General" sourceLinked="1"/>
        <c:majorTickMark val="none"/>
        <c:minorTickMark val="none"/>
        <c:tickLblPos val="nextTo"/>
        <c:crossAx val="190334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PRFORMANCE DASHBOARD.xlsx]PIVOT!PivotTable7</c:name>
    <c:fmtId val="2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b="1">
                <a:solidFill>
                  <a:schemeClr val="tx1"/>
                </a:solidFill>
              </a:rPr>
              <a:t>REGION</a:t>
            </a:r>
            <a:r>
              <a:rPr lang="en-US" sz="1400" b="1" baseline="0">
                <a:solidFill>
                  <a:schemeClr val="tx1"/>
                </a:solidFill>
              </a:rPr>
              <a:t> WISE SALES</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2"/>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c:f>
              <c:strCache>
                <c:ptCount val="1"/>
                <c:pt idx="0">
                  <c:v>Total</c:v>
                </c:pt>
              </c:strCache>
            </c:strRef>
          </c:tx>
          <c:spPr>
            <a:ln w="38100" cap="rnd">
              <a:solidFill>
                <a:schemeClr val="accent2"/>
              </a:solidFill>
              <a:round/>
            </a:ln>
            <a:effectLst/>
          </c:spPr>
          <c:marker>
            <c:symbol val="circle"/>
            <c:size val="8"/>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PIVOT!$A$13:$A$17</c:f>
              <c:strCache>
                <c:ptCount val="4"/>
                <c:pt idx="0">
                  <c:v>East</c:v>
                </c:pt>
                <c:pt idx="1">
                  <c:v>North</c:v>
                </c:pt>
                <c:pt idx="2">
                  <c:v>South</c:v>
                </c:pt>
                <c:pt idx="3">
                  <c:v>West</c:v>
                </c:pt>
              </c:strCache>
            </c:strRef>
          </c:cat>
          <c:val>
            <c:numRef>
              <c:f>PIVOT!$B$13:$B$17</c:f>
              <c:numCache>
                <c:formatCode>General</c:formatCode>
                <c:ptCount val="4"/>
                <c:pt idx="0">
                  <c:v>650732.74999999977</c:v>
                </c:pt>
                <c:pt idx="1">
                  <c:v>496216.65</c:v>
                </c:pt>
                <c:pt idx="2">
                  <c:v>623860.05000000005</c:v>
                </c:pt>
                <c:pt idx="3">
                  <c:v>858555.1</c:v>
                </c:pt>
              </c:numCache>
            </c:numRef>
          </c:val>
          <c:smooth val="0"/>
          <c:extLst>
            <c:ext xmlns:c16="http://schemas.microsoft.com/office/drawing/2014/chart" uri="{C3380CC4-5D6E-409C-BE32-E72D297353CC}">
              <c16:uniqueId val="{00000000-B898-47FF-92BE-4232C75B7EAC}"/>
            </c:ext>
          </c:extLst>
        </c:ser>
        <c:dLbls>
          <c:dLblPos val="t"/>
          <c:showLegendKey val="0"/>
          <c:showVal val="1"/>
          <c:showCatName val="0"/>
          <c:showSerName val="0"/>
          <c:showPercent val="0"/>
          <c:showBubbleSize val="0"/>
        </c:dLbls>
        <c:marker val="1"/>
        <c:smooth val="0"/>
        <c:axId val="1912159216"/>
        <c:axId val="1912159632"/>
      </c:lineChart>
      <c:catAx>
        <c:axId val="191215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solidFill>
                <a:latin typeface="+mn-lt"/>
                <a:ea typeface="+mn-ea"/>
                <a:cs typeface="+mn-cs"/>
              </a:defRPr>
            </a:pPr>
            <a:endParaRPr lang="en-US"/>
          </a:p>
        </c:txPr>
        <c:crossAx val="1912159632"/>
        <c:crosses val="autoZero"/>
        <c:auto val="1"/>
        <c:lblAlgn val="ctr"/>
        <c:lblOffset val="100"/>
        <c:noMultiLvlLbl val="0"/>
      </c:catAx>
      <c:valAx>
        <c:axId val="1912159632"/>
        <c:scaling>
          <c:orientation val="minMax"/>
        </c:scaling>
        <c:delete val="1"/>
        <c:axPos val="l"/>
        <c:numFmt formatCode="General" sourceLinked="1"/>
        <c:majorTickMark val="none"/>
        <c:minorTickMark val="none"/>
        <c:tickLblPos val="nextTo"/>
        <c:crossAx val="191215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PRODECT</a:t>
            </a:r>
            <a:r>
              <a:rPr lang="en-US" b="1" baseline="0">
                <a:solidFill>
                  <a:sysClr val="windowText" lastClr="000000"/>
                </a:solidFill>
              </a:rPr>
              <a:t> WISE SALES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Laptop</c:v>
              </c:pt>
              <c:pt idx="1">
                <c:v>Monitor</c:v>
              </c:pt>
              <c:pt idx="2">
                <c:v>Headset</c:v>
              </c:pt>
              <c:pt idx="3">
                <c:v>Keyboard</c:v>
              </c:pt>
              <c:pt idx="4">
                <c:v>Mouse</c:v>
              </c:pt>
              <c:pt idx="5">
                <c:v>Mouse </c:v>
              </c:pt>
            </c:strLit>
          </c:cat>
          <c:val>
            <c:numLit>
              <c:formatCode>General</c:formatCode>
              <c:ptCount val="6"/>
              <c:pt idx="0">
                <c:v>1499972.4000000001</c:v>
              </c:pt>
              <c:pt idx="1">
                <c:v>879964.95</c:v>
              </c:pt>
              <c:pt idx="2">
                <c:v>109501.65000000001</c:v>
              </c:pt>
              <c:pt idx="3">
                <c:v>67251.3</c:v>
              </c:pt>
              <c:pt idx="4">
                <c:v>60466.55</c:v>
              </c:pt>
              <c:pt idx="5">
                <c:v>12207.7</c:v>
              </c:pt>
            </c:numLit>
          </c:val>
          <c:extLst>
            <c:ext xmlns:c16="http://schemas.microsoft.com/office/drawing/2014/chart" uri="{C3380CC4-5D6E-409C-BE32-E72D297353CC}">
              <c16:uniqueId val="{00000000-3A99-4A49-B256-4BF185F0C216}"/>
            </c:ext>
          </c:extLst>
        </c:ser>
        <c:dLbls>
          <c:dLblPos val="outEnd"/>
          <c:showLegendKey val="0"/>
          <c:showVal val="1"/>
          <c:showCatName val="0"/>
          <c:showSerName val="0"/>
          <c:showPercent val="0"/>
          <c:showBubbleSize val="0"/>
        </c:dLbls>
        <c:gapWidth val="182"/>
        <c:axId val="1903328000"/>
        <c:axId val="1903328832"/>
      </c:barChart>
      <c:catAx>
        <c:axId val="190332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03328832"/>
        <c:crosses val="autoZero"/>
        <c:auto val="1"/>
        <c:lblAlgn val="ctr"/>
        <c:lblOffset val="100"/>
        <c:noMultiLvlLbl val="0"/>
      </c:catAx>
      <c:valAx>
        <c:axId val="1903328832"/>
        <c:scaling>
          <c:orientation val="minMax"/>
        </c:scaling>
        <c:delete val="1"/>
        <c:axPos val="b"/>
        <c:numFmt formatCode="General" sourceLinked="1"/>
        <c:majorTickMark val="none"/>
        <c:minorTickMark val="none"/>
        <c:tickLblPos val="nextTo"/>
        <c:crossAx val="1903328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PRFORMANCE DASHBOARD.xlsx]PIVOT!PivotTable3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DISCOUNT</a:t>
            </a:r>
            <a:r>
              <a:rPr lang="en-US" b="1" baseline="0">
                <a:solidFill>
                  <a:schemeClr val="tx1"/>
                </a:solidFill>
              </a:rPr>
              <a:t> VS PROFIT ANALYSIS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378775402085724E-2"/>
          <c:y val="0.29112248155362858"/>
          <c:w val="0.92405488981152484"/>
          <c:h val="0.49171965258420308"/>
        </c:manualLayout>
      </c:layout>
      <c:bar3DChart>
        <c:barDir val="col"/>
        <c:grouping val="stacked"/>
        <c:varyColors val="0"/>
        <c:ser>
          <c:idx val="0"/>
          <c:order val="0"/>
          <c:tx>
            <c:strRef>
              <c:f>PIVOT!$K$12</c:f>
              <c:strCache>
                <c:ptCount val="1"/>
                <c:pt idx="0">
                  <c:v>Total</c:v>
                </c:pt>
              </c:strCache>
            </c:strRef>
          </c:tx>
          <c:spPr>
            <a:solidFill>
              <a:schemeClr val="accent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PIVOT!$J$13:$J$18</c:f>
              <c:strCache>
                <c:ptCount val="5"/>
                <c:pt idx="0">
                  <c:v>0</c:v>
                </c:pt>
                <c:pt idx="1">
                  <c:v>5</c:v>
                </c:pt>
                <c:pt idx="2">
                  <c:v>10</c:v>
                </c:pt>
                <c:pt idx="3">
                  <c:v>10</c:v>
                </c:pt>
                <c:pt idx="4">
                  <c:v>15</c:v>
                </c:pt>
              </c:strCache>
            </c:strRef>
          </c:cat>
          <c:val>
            <c:numRef>
              <c:f>PIVOT!$K$13:$K$18</c:f>
              <c:numCache>
                <c:formatCode>General</c:formatCode>
                <c:ptCount val="5"/>
                <c:pt idx="0">
                  <c:v>409278</c:v>
                </c:pt>
                <c:pt idx="1">
                  <c:v>885224.24999999988</c:v>
                </c:pt>
                <c:pt idx="2">
                  <c:v>38480.400000000001</c:v>
                </c:pt>
                <c:pt idx="3">
                  <c:v>654980.4</c:v>
                </c:pt>
                <c:pt idx="4">
                  <c:v>641401.49999999988</c:v>
                </c:pt>
              </c:numCache>
            </c:numRef>
          </c:val>
          <c:extLst>
            <c:ext xmlns:c16="http://schemas.microsoft.com/office/drawing/2014/chart" uri="{C3380CC4-5D6E-409C-BE32-E72D297353CC}">
              <c16:uniqueId val="{00000000-D84A-494C-998A-0B1F51E4A9E8}"/>
            </c:ext>
          </c:extLst>
        </c:ser>
        <c:dLbls>
          <c:showLegendKey val="0"/>
          <c:showVal val="1"/>
          <c:showCatName val="0"/>
          <c:showSerName val="0"/>
          <c:showPercent val="0"/>
          <c:showBubbleSize val="0"/>
        </c:dLbls>
        <c:gapWidth val="150"/>
        <c:shape val="box"/>
        <c:axId val="1076307231"/>
        <c:axId val="1076325119"/>
        <c:axId val="0"/>
      </c:bar3DChart>
      <c:catAx>
        <c:axId val="1076307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6325119"/>
        <c:crosses val="autoZero"/>
        <c:auto val="1"/>
        <c:lblAlgn val="ctr"/>
        <c:lblOffset val="100"/>
        <c:noMultiLvlLbl val="0"/>
      </c:catAx>
      <c:valAx>
        <c:axId val="1076325119"/>
        <c:scaling>
          <c:orientation val="minMax"/>
        </c:scaling>
        <c:delete val="1"/>
        <c:axPos val="l"/>
        <c:numFmt formatCode="General" sourceLinked="1"/>
        <c:majorTickMark val="none"/>
        <c:minorTickMark val="none"/>
        <c:tickLblPos val="nextTo"/>
        <c:crossAx val="1076307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PRFORMANCE DASHBOARD.xlsx]PIVOT!PivotTable4</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PAYENT MODE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PIVOT!$G$3</c:f>
              <c:strCache>
                <c:ptCount val="1"/>
                <c:pt idx="0">
                  <c:v>Total</c:v>
                </c:pt>
              </c:strCache>
            </c:strRef>
          </c:tx>
          <c:spPr>
            <a:solidFill>
              <a:schemeClr val="accent2">
                <a:lumMod val="75000"/>
              </a:schemeClr>
            </a:solidFill>
            <a:ln>
              <a:noFill/>
            </a:ln>
            <a:effectLst/>
          </c:spPr>
          <c:invertIfNegative val="0"/>
          <c:cat>
            <c:strRef>
              <c:f>PIVOT!$F$4:$F$9</c:f>
              <c:strCache>
                <c:ptCount val="5"/>
                <c:pt idx="0">
                  <c:v>Card</c:v>
                </c:pt>
                <c:pt idx="1">
                  <c:v>Card </c:v>
                </c:pt>
                <c:pt idx="2">
                  <c:v>Cash</c:v>
                </c:pt>
                <c:pt idx="3">
                  <c:v>Net Banking</c:v>
                </c:pt>
                <c:pt idx="4">
                  <c:v>UPI</c:v>
                </c:pt>
              </c:strCache>
            </c:strRef>
          </c:cat>
          <c:val>
            <c:numRef>
              <c:f>PIVOT!$G$4:$G$9</c:f>
              <c:numCache>
                <c:formatCode>General</c:formatCode>
                <c:ptCount val="5"/>
                <c:pt idx="0">
                  <c:v>18</c:v>
                </c:pt>
                <c:pt idx="1">
                  <c:v>1</c:v>
                </c:pt>
                <c:pt idx="2">
                  <c:v>17</c:v>
                </c:pt>
                <c:pt idx="3">
                  <c:v>20</c:v>
                </c:pt>
                <c:pt idx="4">
                  <c:v>24</c:v>
                </c:pt>
              </c:numCache>
            </c:numRef>
          </c:val>
          <c:extLst>
            <c:ext xmlns:c16="http://schemas.microsoft.com/office/drawing/2014/chart" uri="{C3380CC4-5D6E-409C-BE32-E72D297353CC}">
              <c16:uniqueId val="{00000000-FB21-41C4-AA80-91E414CF9466}"/>
            </c:ext>
          </c:extLst>
        </c:ser>
        <c:dLbls>
          <c:showLegendKey val="0"/>
          <c:showVal val="0"/>
          <c:showCatName val="0"/>
          <c:showSerName val="0"/>
          <c:showPercent val="0"/>
          <c:showBubbleSize val="0"/>
        </c:dLbls>
        <c:gapWidth val="182"/>
        <c:axId val="1360621103"/>
        <c:axId val="1360638991"/>
      </c:barChart>
      <c:catAx>
        <c:axId val="136062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60638991"/>
        <c:crosses val="autoZero"/>
        <c:auto val="1"/>
        <c:lblAlgn val="ctr"/>
        <c:lblOffset val="100"/>
        <c:noMultiLvlLbl val="0"/>
      </c:catAx>
      <c:valAx>
        <c:axId val="1360638991"/>
        <c:scaling>
          <c:orientation val="minMax"/>
        </c:scaling>
        <c:delete val="1"/>
        <c:axPos val="b"/>
        <c:numFmt formatCode="General" sourceLinked="1"/>
        <c:majorTickMark val="none"/>
        <c:minorTickMark val="none"/>
        <c:tickLblPos val="nextTo"/>
        <c:crossAx val="1360621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chart" Target="../charts/chart6.xml"/><Relationship Id="rId2" Type="http://schemas.openxmlformats.org/officeDocument/2006/relationships/chart" Target="../charts/chart2.xml"/><Relationship Id="rId16" Type="http://schemas.openxmlformats.org/officeDocument/2006/relationships/hyperlink" Target="#DATA!A1"/><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hyperlink" Target="#PIVOT!A1"/><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57151</xdr:colOff>
      <xdr:row>0</xdr:row>
      <xdr:rowOff>126210</xdr:rowOff>
    </xdr:from>
    <xdr:to>
      <xdr:col>25</xdr:col>
      <xdr:colOff>384074</xdr:colOff>
      <xdr:row>40</xdr:row>
      <xdr:rowOff>92177</xdr:rowOff>
    </xdr:to>
    <xdr:sp macro="" textlink="">
      <xdr:nvSpPr>
        <xdr:cNvPr id="2" name="Rectangle: Rounded Corners 1">
          <a:extLst>
            <a:ext uri="{FF2B5EF4-FFF2-40B4-BE49-F238E27FC236}">
              <a16:creationId xmlns:a16="http://schemas.microsoft.com/office/drawing/2014/main" id="{54183105-38AB-78EF-94DC-14B1ED4D05D6}"/>
            </a:ext>
          </a:extLst>
        </xdr:cNvPr>
        <xdr:cNvSpPr/>
      </xdr:nvSpPr>
      <xdr:spPr>
        <a:xfrm>
          <a:off x="57151" y="126210"/>
          <a:ext cx="15689826" cy="7340161"/>
        </a:xfrm>
        <a:prstGeom prst="roundRect">
          <a:avLst>
            <a:gd name="adj" fmla="val 9195"/>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466485</xdr:colOff>
      <xdr:row>1</xdr:row>
      <xdr:rowOff>181006</xdr:rowOff>
    </xdr:from>
    <xdr:to>
      <xdr:col>25</xdr:col>
      <xdr:colOff>291895</xdr:colOff>
      <xdr:row>39</xdr:row>
      <xdr:rowOff>122903</xdr:rowOff>
    </xdr:to>
    <xdr:sp macro="" textlink="">
      <xdr:nvSpPr>
        <xdr:cNvPr id="3" name="Rectangle: Rounded Corners 2">
          <a:extLst>
            <a:ext uri="{FF2B5EF4-FFF2-40B4-BE49-F238E27FC236}">
              <a16:creationId xmlns:a16="http://schemas.microsoft.com/office/drawing/2014/main" id="{D14C50AB-ACC9-C77A-9031-EF86F01D8D12}"/>
            </a:ext>
          </a:extLst>
        </xdr:cNvPr>
        <xdr:cNvSpPr/>
      </xdr:nvSpPr>
      <xdr:spPr>
        <a:xfrm>
          <a:off x="2310033" y="365361"/>
          <a:ext cx="13344765" cy="6947381"/>
        </a:xfrm>
        <a:prstGeom prst="roundRect">
          <a:avLst>
            <a:gd name="adj" fmla="val 9041"/>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20</xdr:col>
      <xdr:colOff>482957</xdr:colOff>
      <xdr:row>16</xdr:row>
      <xdr:rowOff>120740</xdr:rowOff>
    </xdr:from>
    <xdr:to>
      <xdr:col>25</xdr:col>
      <xdr:colOff>26830</xdr:colOff>
      <xdr:row>22</xdr:row>
      <xdr:rowOff>107324</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893DA2D-DBDB-4DD2-8E73-C1E71C71B3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92740" y="3102479"/>
              <a:ext cx="2546318" cy="1104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488144</xdr:colOff>
      <xdr:row>23</xdr:row>
      <xdr:rowOff>67078</xdr:rowOff>
    </xdr:from>
    <xdr:to>
      <xdr:col>25</xdr:col>
      <xdr:colOff>26831</xdr:colOff>
      <xdr:row>29</xdr:row>
      <xdr:rowOff>67078</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CB756A40-3D8A-451D-8E24-DF18E03BC4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497927" y="4353328"/>
              <a:ext cx="2541132" cy="1118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104384</xdr:colOff>
      <xdr:row>16</xdr:row>
      <xdr:rowOff>100087</xdr:rowOff>
    </xdr:from>
    <xdr:to>
      <xdr:col>8</xdr:col>
      <xdr:colOff>561063</xdr:colOff>
      <xdr:row>26</xdr:row>
      <xdr:rowOff>146549</xdr:rowOff>
    </xdr:to>
    <xdr:graphicFrame macro="">
      <xdr:nvGraphicFramePr>
        <xdr:cNvPr id="7" name="Chart 6">
          <a:extLst>
            <a:ext uri="{FF2B5EF4-FFF2-40B4-BE49-F238E27FC236}">
              <a16:creationId xmlns:a16="http://schemas.microsoft.com/office/drawing/2014/main" id="{F52CB1C2-8BD2-4E13-90A4-2B67CD37F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52192</xdr:colOff>
      <xdr:row>16</xdr:row>
      <xdr:rowOff>91335</xdr:rowOff>
    </xdr:from>
    <xdr:to>
      <xdr:col>14</xdr:col>
      <xdr:colOff>339247</xdr:colOff>
      <xdr:row>26</xdr:row>
      <xdr:rowOff>156574</xdr:rowOff>
    </xdr:to>
    <xdr:graphicFrame macro="">
      <xdr:nvGraphicFramePr>
        <xdr:cNvPr id="9" name="Chart 8">
          <a:extLst>
            <a:ext uri="{FF2B5EF4-FFF2-40B4-BE49-F238E27FC236}">
              <a16:creationId xmlns:a16="http://schemas.microsoft.com/office/drawing/2014/main" id="{91BA3643-C862-4C8E-88C6-F0E61E616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429310</xdr:colOff>
      <xdr:row>16</xdr:row>
      <xdr:rowOff>111704</xdr:rowOff>
    </xdr:from>
    <xdr:to>
      <xdr:col>20</xdr:col>
      <xdr:colOff>169624</xdr:colOff>
      <xdr:row>26</xdr:row>
      <xdr:rowOff>169623</xdr:rowOff>
    </xdr:to>
    <xdr:graphicFrame macro="">
      <xdr:nvGraphicFramePr>
        <xdr:cNvPr id="10" name="Chart 9">
          <a:extLst>
            <a:ext uri="{FF2B5EF4-FFF2-40B4-BE49-F238E27FC236}">
              <a16:creationId xmlns:a16="http://schemas.microsoft.com/office/drawing/2014/main" id="{5771AD05-1232-45A1-B460-345B8AFB1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78287</xdr:colOff>
      <xdr:row>27</xdr:row>
      <xdr:rowOff>156574</xdr:rowOff>
    </xdr:from>
    <xdr:to>
      <xdr:col>8</xdr:col>
      <xdr:colOff>548014</xdr:colOff>
      <xdr:row>37</xdr:row>
      <xdr:rowOff>139389</xdr:rowOff>
    </xdr:to>
    <xdr:graphicFrame macro="">
      <xdr:nvGraphicFramePr>
        <xdr:cNvPr id="11" name="Chart 10">
          <a:extLst>
            <a:ext uri="{FF2B5EF4-FFF2-40B4-BE49-F238E27FC236}">
              <a16:creationId xmlns:a16="http://schemas.microsoft.com/office/drawing/2014/main" id="{C34011CF-BEE3-4202-9E10-54CBC2F39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425331</xdr:colOff>
      <xdr:row>28</xdr:row>
      <xdr:rowOff>13048</xdr:rowOff>
    </xdr:from>
    <xdr:to>
      <xdr:col>20</xdr:col>
      <xdr:colOff>169624</xdr:colOff>
      <xdr:row>37</xdr:row>
      <xdr:rowOff>134155</xdr:rowOff>
    </xdr:to>
    <xdr:graphicFrame macro="">
      <xdr:nvGraphicFramePr>
        <xdr:cNvPr id="8" name="Chart 7">
          <a:extLst>
            <a:ext uri="{FF2B5EF4-FFF2-40B4-BE49-F238E27FC236}">
              <a16:creationId xmlns:a16="http://schemas.microsoft.com/office/drawing/2014/main" id="{33E6BCAB-8F6A-48F9-B3E8-2971E4027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208873</xdr:colOff>
      <xdr:row>7</xdr:row>
      <xdr:rowOff>25347</xdr:rowOff>
    </xdr:from>
    <xdr:to>
      <xdr:col>8</xdr:col>
      <xdr:colOff>582972</xdr:colOff>
      <xdr:row>13</xdr:row>
      <xdr:rowOff>165420</xdr:rowOff>
    </xdr:to>
    <xdr:sp macro="" textlink="">
      <xdr:nvSpPr>
        <xdr:cNvPr id="13" name="Rectangle: Rounded Corners 12">
          <a:extLst>
            <a:ext uri="{FF2B5EF4-FFF2-40B4-BE49-F238E27FC236}">
              <a16:creationId xmlns:a16="http://schemas.microsoft.com/office/drawing/2014/main" id="{35204D5F-3918-9395-C529-971F5F522FED}"/>
            </a:ext>
          </a:extLst>
        </xdr:cNvPr>
        <xdr:cNvSpPr/>
      </xdr:nvSpPr>
      <xdr:spPr>
        <a:xfrm>
          <a:off x="2633418" y="1389154"/>
          <a:ext cx="2798645" cy="1309050"/>
        </a:xfrm>
        <a:prstGeom prst="roundRect">
          <a:avLst/>
        </a:prstGeom>
        <a:solidFill>
          <a:schemeClr val="accent2">
            <a:lumMod val="60000"/>
            <a:lumOff val="4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56027</xdr:colOff>
      <xdr:row>2</xdr:row>
      <xdr:rowOff>28015</xdr:rowOff>
    </xdr:from>
    <xdr:to>
      <xdr:col>20</xdr:col>
      <xdr:colOff>224117</xdr:colOff>
      <xdr:row>4</xdr:row>
      <xdr:rowOff>182095</xdr:rowOff>
    </xdr:to>
    <xdr:sp macro="" textlink="">
      <xdr:nvSpPr>
        <xdr:cNvPr id="14" name="TextBox 13">
          <a:extLst>
            <a:ext uri="{FF2B5EF4-FFF2-40B4-BE49-F238E27FC236}">
              <a16:creationId xmlns:a16="http://schemas.microsoft.com/office/drawing/2014/main" id="{83027F0E-A66A-0B7A-2E12-24A1A7AD85B7}"/>
            </a:ext>
          </a:extLst>
        </xdr:cNvPr>
        <xdr:cNvSpPr txBox="1"/>
      </xdr:nvSpPr>
      <xdr:spPr>
        <a:xfrm>
          <a:off x="5602939" y="420221"/>
          <a:ext cx="6947649" cy="546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SALES</a:t>
          </a:r>
          <a:r>
            <a:rPr lang="en-US" sz="2400" b="1" baseline="0"/>
            <a:t> AND PROFIT PERFORMANCE DASHBOARD</a:t>
          </a:r>
          <a:endParaRPr lang="en-US" sz="2400" b="1"/>
        </a:p>
      </xdr:txBody>
    </xdr:sp>
    <xdr:clientData/>
  </xdr:twoCellAnchor>
  <xdr:twoCellAnchor>
    <xdr:from>
      <xdr:col>9</xdr:col>
      <xdr:colOff>212531</xdr:colOff>
      <xdr:row>7</xdr:row>
      <xdr:rowOff>14008</xdr:rowOff>
    </xdr:from>
    <xdr:to>
      <xdr:col>13</xdr:col>
      <xdr:colOff>574301</xdr:colOff>
      <xdr:row>13</xdr:row>
      <xdr:rowOff>182097</xdr:rowOff>
    </xdr:to>
    <xdr:sp macro="" textlink="">
      <xdr:nvSpPr>
        <xdr:cNvPr id="15" name="Rectangle: Rounded Corners 14">
          <a:extLst>
            <a:ext uri="{FF2B5EF4-FFF2-40B4-BE49-F238E27FC236}">
              <a16:creationId xmlns:a16="http://schemas.microsoft.com/office/drawing/2014/main" id="{564A1839-A223-421B-8A06-6592CC4E9DBE}"/>
            </a:ext>
          </a:extLst>
        </xdr:cNvPr>
        <xdr:cNvSpPr/>
      </xdr:nvSpPr>
      <xdr:spPr>
        <a:xfrm>
          <a:off x="5759443" y="1386729"/>
          <a:ext cx="2827064" cy="1344706"/>
        </a:xfrm>
        <a:prstGeom prst="roundRect">
          <a:avLst/>
        </a:prstGeom>
        <a:solidFill>
          <a:schemeClr val="accent2">
            <a:lumMod val="60000"/>
            <a:lumOff val="4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196102</xdr:colOff>
      <xdr:row>6</xdr:row>
      <xdr:rowOff>189735</xdr:rowOff>
    </xdr:from>
    <xdr:to>
      <xdr:col>19</xdr:col>
      <xdr:colOff>168087</xdr:colOff>
      <xdr:row>13</xdr:row>
      <xdr:rowOff>175728</xdr:rowOff>
    </xdr:to>
    <xdr:sp macro="" textlink="">
      <xdr:nvSpPr>
        <xdr:cNvPr id="16" name="Rectangle: Rounded Corners 15">
          <a:extLst>
            <a:ext uri="{FF2B5EF4-FFF2-40B4-BE49-F238E27FC236}">
              <a16:creationId xmlns:a16="http://schemas.microsoft.com/office/drawing/2014/main" id="{0C8C8B6E-FB0B-4B36-AF9D-553439E0E08A}"/>
            </a:ext>
          </a:extLst>
        </xdr:cNvPr>
        <xdr:cNvSpPr/>
      </xdr:nvSpPr>
      <xdr:spPr>
        <a:xfrm>
          <a:off x="8682011" y="1358712"/>
          <a:ext cx="3002667" cy="1349800"/>
        </a:xfrm>
        <a:prstGeom prst="roundRect">
          <a:avLst/>
        </a:prstGeom>
        <a:solidFill>
          <a:schemeClr val="accent2">
            <a:lumMod val="60000"/>
            <a:lumOff val="4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352322</xdr:colOff>
      <xdr:row>6</xdr:row>
      <xdr:rowOff>165054</xdr:rowOff>
    </xdr:from>
    <xdr:to>
      <xdr:col>24</xdr:col>
      <xdr:colOff>454602</xdr:colOff>
      <xdr:row>13</xdr:row>
      <xdr:rowOff>158355</xdr:rowOff>
    </xdr:to>
    <xdr:sp macro="" textlink="">
      <xdr:nvSpPr>
        <xdr:cNvPr id="17" name="Rectangle: Rounded Corners 16">
          <a:extLst>
            <a:ext uri="{FF2B5EF4-FFF2-40B4-BE49-F238E27FC236}">
              <a16:creationId xmlns:a16="http://schemas.microsoft.com/office/drawing/2014/main" id="{CCC4ABDA-4D33-4245-B143-E0A4A0D7364E}"/>
            </a:ext>
          </a:extLst>
        </xdr:cNvPr>
        <xdr:cNvSpPr/>
      </xdr:nvSpPr>
      <xdr:spPr>
        <a:xfrm>
          <a:off x="11868913" y="1334031"/>
          <a:ext cx="3132962" cy="1357108"/>
        </a:xfrm>
        <a:prstGeom prst="roundRect">
          <a:avLst/>
        </a:prstGeom>
        <a:solidFill>
          <a:schemeClr val="accent2">
            <a:lumMod val="60000"/>
            <a:lumOff val="4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565042</xdr:colOff>
      <xdr:row>8</xdr:row>
      <xdr:rowOff>32288</xdr:rowOff>
    </xdr:from>
    <xdr:to>
      <xdr:col>8</xdr:col>
      <xdr:colOff>422243</xdr:colOff>
      <xdr:row>9</xdr:row>
      <xdr:rowOff>177970</xdr:rowOff>
    </xdr:to>
    <xdr:sp macro="" textlink="">
      <xdr:nvSpPr>
        <xdr:cNvPr id="18" name="TextBox 17">
          <a:extLst>
            <a:ext uri="{FF2B5EF4-FFF2-40B4-BE49-F238E27FC236}">
              <a16:creationId xmlns:a16="http://schemas.microsoft.com/office/drawing/2014/main" id="{0E32B368-8F67-470A-5CD0-9ABB7B1E7316}"/>
            </a:ext>
          </a:extLst>
        </xdr:cNvPr>
        <xdr:cNvSpPr txBox="1"/>
      </xdr:nvSpPr>
      <xdr:spPr>
        <a:xfrm>
          <a:off x="3632415" y="1582119"/>
          <a:ext cx="1697625" cy="339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a:t>
          </a:r>
          <a:r>
            <a:rPr lang="en-US" sz="1600" b="1"/>
            <a:t> </a:t>
          </a:r>
          <a:r>
            <a:rPr lang="en-US" sz="1800" b="1"/>
            <a:t>SALES</a:t>
          </a:r>
        </a:p>
      </xdr:txBody>
    </xdr:sp>
    <xdr:clientData/>
  </xdr:twoCellAnchor>
  <xdr:twoCellAnchor>
    <xdr:from>
      <xdr:col>10</xdr:col>
      <xdr:colOff>355168</xdr:colOff>
      <xdr:row>8</xdr:row>
      <xdr:rowOff>16144</xdr:rowOff>
    </xdr:from>
    <xdr:to>
      <xdr:col>13</xdr:col>
      <xdr:colOff>306736</xdr:colOff>
      <xdr:row>10</xdr:row>
      <xdr:rowOff>61885</xdr:rowOff>
    </xdr:to>
    <xdr:sp macro="" textlink="">
      <xdr:nvSpPr>
        <xdr:cNvPr id="19" name="TextBox 18">
          <a:extLst>
            <a:ext uri="{FF2B5EF4-FFF2-40B4-BE49-F238E27FC236}">
              <a16:creationId xmlns:a16="http://schemas.microsoft.com/office/drawing/2014/main" id="{93FCF880-1F72-E5BF-14BF-D3858EEA3F9E}"/>
            </a:ext>
          </a:extLst>
        </xdr:cNvPr>
        <xdr:cNvSpPr txBox="1"/>
      </xdr:nvSpPr>
      <xdr:spPr>
        <a:xfrm>
          <a:off x="6489914" y="1565975"/>
          <a:ext cx="1791991" cy="433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rPr>
            <a:t>TOTAL ORDERS</a:t>
          </a:r>
        </a:p>
      </xdr:txBody>
    </xdr:sp>
    <xdr:clientData/>
  </xdr:twoCellAnchor>
  <xdr:twoCellAnchor>
    <xdr:from>
      <xdr:col>15</xdr:col>
      <xdr:colOff>403602</xdr:colOff>
      <xdr:row>8</xdr:row>
      <xdr:rowOff>53621</xdr:rowOff>
    </xdr:from>
    <xdr:to>
      <xdr:col>18</xdr:col>
      <xdr:colOff>468180</xdr:colOff>
      <xdr:row>10</xdr:row>
      <xdr:rowOff>110317</xdr:rowOff>
    </xdr:to>
    <xdr:sp macro="" textlink="">
      <xdr:nvSpPr>
        <xdr:cNvPr id="21" name="TextBox 20">
          <a:extLst>
            <a:ext uri="{FF2B5EF4-FFF2-40B4-BE49-F238E27FC236}">
              <a16:creationId xmlns:a16="http://schemas.microsoft.com/office/drawing/2014/main" id="{80380FB3-EB60-A7BA-D519-5C84876BB9B5}"/>
            </a:ext>
          </a:extLst>
        </xdr:cNvPr>
        <xdr:cNvSpPr txBox="1"/>
      </xdr:nvSpPr>
      <xdr:spPr>
        <a:xfrm>
          <a:off x="9605721" y="1603452"/>
          <a:ext cx="1905001" cy="444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rPr>
            <a:t>TOTAL -PROFIT</a:t>
          </a:r>
        </a:p>
      </xdr:txBody>
    </xdr:sp>
    <xdr:clientData/>
  </xdr:twoCellAnchor>
  <xdr:twoCellAnchor>
    <xdr:from>
      <xdr:col>21</xdr:col>
      <xdr:colOff>7054</xdr:colOff>
      <xdr:row>8</xdr:row>
      <xdr:rowOff>43296</xdr:rowOff>
    </xdr:from>
    <xdr:to>
      <xdr:col>24</xdr:col>
      <xdr:colOff>368011</xdr:colOff>
      <xdr:row>10</xdr:row>
      <xdr:rowOff>80722</xdr:rowOff>
    </xdr:to>
    <xdr:sp macro="" textlink="">
      <xdr:nvSpPr>
        <xdr:cNvPr id="22" name="TextBox 21">
          <a:extLst>
            <a:ext uri="{FF2B5EF4-FFF2-40B4-BE49-F238E27FC236}">
              <a16:creationId xmlns:a16="http://schemas.microsoft.com/office/drawing/2014/main" id="{B5D174FE-AA8D-9ADD-B1DE-297709DCE9D0}"/>
            </a:ext>
          </a:extLst>
        </xdr:cNvPr>
        <xdr:cNvSpPr txBox="1"/>
      </xdr:nvSpPr>
      <xdr:spPr>
        <a:xfrm>
          <a:off x="12735918" y="1601932"/>
          <a:ext cx="2179366" cy="427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rPr>
            <a:t>TOTAL </a:t>
          </a:r>
          <a:r>
            <a:rPr lang="en-US" sz="1800" b="1" baseline="0">
              <a:solidFill>
                <a:schemeClr val="tx1"/>
              </a:solidFill>
            </a:rPr>
            <a:t> CUSTOMERS</a:t>
          </a:r>
          <a:endParaRPr lang="en-US" sz="1800" b="1">
            <a:solidFill>
              <a:schemeClr val="tx1"/>
            </a:solidFill>
          </a:endParaRPr>
        </a:p>
      </xdr:txBody>
    </xdr:sp>
    <xdr:clientData/>
  </xdr:twoCellAnchor>
  <xdr:twoCellAnchor>
    <xdr:from>
      <xdr:col>11</xdr:col>
      <xdr:colOff>258306</xdr:colOff>
      <xdr:row>10</xdr:row>
      <xdr:rowOff>0</xdr:rowOff>
    </xdr:from>
    <xdr:to>
      <xdr:col>12</xdr:col>
      <xdr:colOff>435890</xdr:colOff>
      <xdr:row>11</xdr:row>
      <xdr:rowOff>113009</xdr:rowOff>
    </xdr:to>
    <xdr:sp macro="" textlink="PIVOT!D22">
      <xdr:nvSpPr>
        <xdr:cNvPr id="24" name="TextBox 23">
          <a:extLst>
            <a:ext uri="{FF2B5EF4-FFF2-40B4-BE49-F238E27FC236}">
              <a16:creationId xmlns:a16="http://schemas.microsoft.com/office/drawing/2014/main" id="{A4E41280-F3E5-4997-76D3-77581EFE138F}"/>
            </a:ext>
          </a:extLst>
        </xdr:cNvPr>
        <xdr:cNvSpPr txBox="1"/>
      </xdr:nvSpPr>
      <xdr:spPr>
        <a:xfrm>
          <a:off x="7006526" y="1937288"/>
          <a:ext cx="791059" cy="306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9D936E-CCA3-425F-B20A-A6032C7DD90C}" type="TxLink">
            <a:rPr lang="en-US" sz="1800" b="1" i="0" u="none" strike="noStrike">
              <a:solidFill>
                <a:schemeClr val="tx1"/>
              </a:solidFill>
              <a:latin typeface="Calibri"/>
              <a:cs typeface="Calibri"/>
            </a:rPr>
            <a:pPr/>
            <a:t>80</a:t>
          </a:fld>
          <a:endParaRPr lang="en-US" sz="1800" b="1">
            <a:solidFill>
              <a:schemeClr val="tx1"/>
            </a:solidFill>
          </a:endParaRPr>
        </a:p>
      </xdr:txBody>
    </xdr:sp>
    <xdr:clientData/>
  </xdr:twoCellAnchor>
  <xdr:twoCellAnchor>
    <xdr:from>
      <xdr:col>16</xdr:col>
      <xdr:colOff>16144</xdr:colOff>
      <xdr:row>10</xdr:row>
      <xdr:rowOff>16144</xdr:rowOff>
    </xdr:from>
    <xdr:to>
      <xdr:col>18</xdr:col>
      <xdr:colOff>129152</xdr:colOff>
      <xdr:row>11</xdr:row>
      <xdr:rowOff>177585</xdr:rowOff>
    </xdr:to>
    <xdr:sp macro="" textlink="PIVOT!F22">
      <xdr:nvSpPr>
        <xdr:cNvPr id="25" name="TextBox 24">
          <a:extLst>
            <a:ext uri="{FF2B5EF4-FFF2-40B4-BE49-F238E27FC236}">
              <a16:creationId xmlns:a16="http://schemas.microsoft.com/office/drawing/2014/main" id="{71B5275B-10BA-CF80-D767-CB9CE89B75C4}"/>
            </a:ext>
          </a:extLst>
        </xdr:cNvPr>
        <xdr:cNvSpPr txBox="1"/>
      </xdr:nvSpPr>
      <xdr:spPr>
        <a:xfrm>
          <a:off x="9831737" y="1953432"/>
          <a:ext cx="1339957" cy="355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3DD77A-C98A-4D51-9740-125F04AE126F}" type="TxLink">
            <a:rPr lang="en-US" sz="1800" b="1" i="0" u="none" strike="noStrike">
              <a:solidFill>
                <a:schemeClr val="tx1"/>
              </a:solidFill>
              <a:latin typeface="Calibri"/>
              <a:cs typeface="Calibri"/>
            </a:rPr>
            <a:pPr/>
            <a:t>780,003.52</a:t>
          </a:fld>
          <a:endParaRPr lang="en-US" sz="1800" b="1">
            <a:solidFill>
              <a:schemeClr val="tx1"/>
            </a:solidFill>
          </a:endParaRPr>
        </a:p>
      </xdr:txBody>
    </xdr:sp>
    <xdr:clientData/>
  </xdr:twoCellAnchor>
  <xdr:twoCellAnchor>
    <xdr:from>
      <xdr:col>22</xdr:col>
      <xdr:colOff>96864</xdr:colOff>
      <xdr:row>10</xdr:row>
      <xdr:rowOff>0</xdr:rowOff>
    </xdr:from>
    <xdr:to>
      <xdr:col>23</xdr:col>
      <xdr:colOff>0</xdr:colOff>
      <xdr:row>11</xdr:row>
      <xdr:rowOff>113008</xdr:rowOff>
    </xdr:to>
    <xdr:sp macro="" textlink="PIVOT!H22">
      <xdr:nvSpPr>
        <xdr:cNvPr id="26" name="TextBox 25">
          <a:extLst>
            <a:ext uri="{FF2B5EF4-FFF2-40B4-BE49-F238E27FC236}">
              <a16:creationId xmlns:a16="http://schemas.microsoft.com/office/drawing/2014/main" id="{0F685F6A-8563-85B9-09DD-7BFBD71844C6}"/>
            </a:ext>
          </a:extLst>
        </xdr:cNvPr>
        <xdr:cNvSpPr txBox="1"/>
      </xdr:nvSpPr>
      <xdr:spPr>
        <a:xfrm>
          <a:off x="13593305" y="1937288"/>
          <a:ext cx="516610" cy="306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457C6E-25AD-4969-9EBA-C47D3BCE6559}" type="TxLink">
            <a:rPr lang="en-US" sz="1800" b="1" i="0" u="none" strike="noStrike">
              <a:solidFill>
                <a:schemeClr val="tx1"/>
              </a:solidFill>
              <a:latin typeface="Calibri"/>
              <a:cs typeface="Calibri"/>
            </a:rPr>
            <a:pPr/>
            <a:t>80</a:t>
          </a:fld>
          <a:endParaRPr lang="en-US" sz="1800" b="1">
            <a:solidFill>
              <a:schemeClr val="tx1"/>
            </a:solidFill>
          </a:endParaRPr>
        </a:p>
      </xdr:txBody>
    </xdr:sp>
    <xdr:clientData/>
  </xdr:twoCellAnchor>
  <xdr:twoCellAnchor>
    <xdr:from>
      <xdr:col>6</xdr:col>
      <xdr:colOff>32288</xdr:colOff>
      <xdr:row>10</xdr:row>
      <xdr:rowOff>1</xdr:rowOff>
    </xdr:from>
    <xdr:to>
      <xdr:col>8</xdr:col>
      <xdr:colOff>96863</xdr:colOff>
      <xdr:row>12</xdr:row>
      <xdr:rowOff>32289</xdr:rowOff>
    </xdr:to>
    <xdr:sp macro="" textlink="PIVOT!B22">
      <xdr:nvSpPr>
        <xdr:cNvPr id="27" name="TextBox 26">
          <a:extLst>
            <a:ext uri="{FF2B5EF4-FFF2-40B4-BE49-F238E27FC236}">
              <a16:creationId xmlns:a16="http://schemas.microsoft.com/office/drawing/2014/main" id="{D081FAF7-DEFA-6A79-747D-2C91F3954784}"/>
            </a:ext>
          </a:extLst>
        </xdr:cNvPr>
        <xdr:cNvSpPr txBox="1"/>
      </xdr:nvSpPr>
      <xdr:spPr>
        <a:xfrm>
          <a:off x="3713135" y="1937289"/>
          <a:ext cx="1291525" cy="419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3269E5-2C4F-426B-8793-8E86F46AA00E}" type="TxLink">
            <a:rPr lang="en-US" sz="1800" b="1" i="0" u="none" strike="noStrike">
              <a:solidFill>
                <a:schemeClr val="tx1"/>
              </a:solidFill>
              <a:latin typeface="Calibri"/>
              <a:cs typeface="Calibri"/>
            </a:rPr>
            <a:pPr/>
            <a:t>2,629,364.55</a:t>
          </a:fld>
          <a:endParaRPr lang="en-US" sz="1800" b="1">
            <a:solidFill>
              <a:schemeClr val="tx1"/>
            </a:solidFill>
          </a:endParaRPr>
        </a:p>
      </xdr:txBody>
    </xdr:sp>
    <xdr:clientData/>
  </xdr:twoCellAnchor>
  <xdr:twoCellAnchor editAs="oneCell">
    <xdr:from>
      <xdr:col>4</xdr:col>
      <xdr:colOff>290593</xdr:colOff>
      <xdr:row>8</xdr:row>
      <xdr:rowOff>16144</xdr:rowOff>
    </xdr:from>
    <xdr:to>
      <xdr:col>5</xdr:col>
      <xdr:colOff>591518</xdr:colOff>
      <xdr:row>12</xdr:row>
      <xdr:rowOff>155629</xdr:rowOff>
    </xdr:to>
    <xdr:pic>
      <xdr:nvPicPr>
        <xdr:cNvPr id="29" name="Graphic 28" descr="Bar chart with solid fill">
          <a:extLst>
            <a:ext uri="{FF2B5EF4-FFF2-40B4-BE49-F238E27FC236}">
              <a16:creationId xmlns:a16="http://schemas.microsoft.com/office/drawing/2014/main" id="{1A151538-0AD6-F733-7AFF-2FEA6B6932B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744491" y="1565975"/>
          <a:ext cx="914400" cy="914400"/>
        </a:xfrm>
        <a:prstGeom prst="rect">
          <a:avLst/>
        </a:prstGeom>
      </xdr:spPr>
    </xdr:pic>
    <xdr:clientData/>
  </xdr:twoCellAnchor>
  <xdr:twoCellAnchor editAs="oneCell">
    <xdr:from>
      <xdr:col>9</xdr:col>
      <xdr:colOff>242161</xdr:colOff>
      <xdr:row>8</xdr:row>
      <xdr:rowOff>129152</xdr:rowOff>
    </xdr:from>
    <xdr:to>
      <xdr:col>10</xdr:col>
      <xdr:colOff>349356</xdr:colOff>
      <xdr:row>12</xdr:row>
      <xdr:rowOff>145296</xdr:rowOff>
    </xdr:to>
    <xdr:pic>
      <xdr:nvPicPr>
        <xdr:cNvPr id="31" name="Graphic 30" descr="Shopping cart with solid fill">
          <a:extLst>
            <a:ext uri="{FF2B5EF4-FFF2-40B4-BE49-F238E27FC236}">
              <a16:creationId xmlns:a16="http://schemas.microsoft.com/office/drawing/2014/main" id="{77733E22-FCDF-EB6C-67FA-D355A9C394F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763432" y="1678983"/>
          <a:ext cx="720670" cy="791059"/>
        </a:xfrm>
        <a:prstGeom prst="rect">
          <a:avLst/>
        </a:prstGeom>
      </xdr:spPr>
    </xdr:pic>
    <xdr:clientData/>
  </xdr:twoCellAnchor>
  <xdr:twoCellAnchor editAs="oneCell">
    <xdr:from>
      <xdr:col>14</xdr:col>
      <xdr:colOff>193730</xdr:colOff>
      <xdr:row>9</xdr:row>
      <xdr:rowOff>16144</xdr:rowOff>
    </xdr:from>
    <xdr:to>
      <xdr:col>15</xdr:col>
      <xdr:colOff>355169</xdr:colOff>
      <xdr:row>13</xdr:row>
      <xdr:rowOff>26475</xdr:rowOff>
    </xdr:to>
    <xdr:pic>
      <xdr:nvPicPr>
        <xdr:cNvPr id="33" name="Graphic 32" descr="Bar graph with upward trend with solid fill">
          <a:extLst>
            <a:ext uri="{FF2B5EF4-FFF2-40B4-BE49-F238E27FC236}">
              <a16:creationId xmlns:a16="http://schemas.microsoft.com/office/drawing/2014/main" id="{D7FEB747-E99E-95DA-A501-E75E0B33863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8782374" y="1759703"/>
          <a:ext cx="774914" cy="785247"/>
        </a:xfrm>
        <a:prstGeom prst="rect">
          <a:avLst/>
        </a:prstGeom>
      </xdr:spPr>
    </xdr:pic>
    <xdr:clientData/>
  </xdr:twoCellAnchor>
  <xdr:twoCellAnchor editAs="oneCell">
    <xdr:from>
      <xdr:col>20</xdr:col>
      <xdr:colOff>0</xdr:colOff>
      <xdr:row>8</xdr:row>
      <xdr:rowOff>189457</xdr:rowOff>
    </xdr:from>
    <xdr:to>
      <xdr:col>21</xdr:col>
      <xdr:colOff>16144</xdr:colOff>
      <xdr:row>12</xdr:row>
      <xdr:rowOff>141024</xdr:rowOff>
    </xdr:to>
    <xdr:pic>
      <xdr:nvPicPr>
        <xdr:cNvPr id="4" name="Graphic 3" descr="Users with solid fill">
          <a:extLst>
            <a:ext uri="{FF2B5EF4-FFF2-40B4-BE49-F238E27FC236}">
              <a16:creationId xmlns:a16="http://schemas.microsoft.com/office/drawing/2014/main" id="{F48F1C23-70BB-45FD-9E40-FE42589DFA9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2326471" y="1758281"/>
          <a:ext cx="632467" cy="735978"/>
        </a:xfrm>
        <a:prstGeom prst="rect">
          <a:avLst/>
        </a:prstGeom>
      </xdr:spPr>
    </xdr:pic>
    <xdr:clientData/>
  </xdr:twoCellAnchor>
  <xdr:twoCellAnchor>
    <xdr:from>
      <xdr:col>0</xdr:col>
      <xdr:colOff>140074</xdr:colOff>
      <xdr:row>6</xdr:row>
      <xdr:rowOff>84043</xdr:rowOff>
    </xdr:from>
    <xdr:to>
      <xdr:col>3</xdr:col>
      <xdr:colOff>266139</xdr:colOff>
      <xdr:row>9</xdr:row>
      <xdr:rowOff>182096</xdr:rowOff>
    </xdr:to>
    <xdr:sp macro="" textlink="">
      <xdr:nvSpPr>
        <xdr:cNvPr id="20" name="Rectangle: Rounded Corners 19">
          <a:extLst>
            <a:ext uri="{FF2B5EF4-FFF2-40B4-BE49-F238E27FC236}">
              <a16:creationId xmlns:a16="http://schemas.microsoft.com/office/drawing/2014/main" id="{5B3FC17A-48C3-2C7A-450B-EEE92EC7697D}"/>
            </a:ext>
          </a:extLst>
        </xdr:cNvPr>
        <xdr:cNvSpPr/>
      </xdr:nvSpPr>
      <xdr:spPr>
        <a:xfrm>
          <a:off x="140074" y="1260661"/>
          <a:ext cx="1975036" cy="686361"/>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a:t>
          </a:r>
        </a:p>
      </xdr:txBody>
    </xdr:sp>
    <xdr:clientData/>
  </xdr:twoCellAnchor>
  <xdr:twoCellAnchor>
    <xdr:from>
      <xdr:col>0</xdr:col>
      <xdr:colOff>138393</xdr:colOff>
      <xdr:row>11</xdr:row>
      <xdr:rowOff>26334</xdr:rowOff>
    </xdr:from>
    <xdr:to>
      <xdr:col>3</xdr:col>
      <xdr:colOff>264458</xdr:colOff>
      <xdr:row>14</xdr:row>
      <xdr:rowOff>154081</xdr:rowOff>
    </xdr:to>
    <xdr:sp macro="" textlink="">
      <xdr:nvSpPr>
        <xdr:cNvPr id="23" name="Rectangle: Rounded Corners 22">
          <a:extLst>
            <a:ext uri="{FF2B5EF4-FFF2-40B4-BE49-F238E27FC236}">
              <a16:creationId xmlns:a16="http://schemas.microsoft.com/office/drawing/2014/main" id="{CF8DE6CC-9A0B-40E6-AC85-D29171F2231E}"/>
            </a:ext>
          </a:extLst>
        </xdr:cNvPr>
        <xdr:cNvSpPr/>
      </xdr:nvSpPr>
      <xdr:spPr>
        <a:xfrm>
          <a:off x="138393" y="2183466"/>
          <a:ext cx="1975036" cy="716056"/>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150719</xdr:colOff>
      <xdr:row>16</xdr:row>
      <xdr:rowOff>10645</xdr:rowOff>
    </xdr:from>
    <xdr:to>
      <xdr:col>3</xdr:col>
      <xdr:colOff>224117</xdr:colOff>
      <xdr:row>19</xdr:row>
      <xdr:rowOff>70038</xdr:rowOff>
    </xdr:to>
    <xdr:sp macro="" textlink="">
      <xdr:nvSpPr>
        <xdr:cNvPr id="28" name="Rectangle: Rounded Corners 27">
          <a:extLst>
            <a:ext uri="{FF2B5EF4-FFF2-40B4-BE49-F238E27FC236}">
              <a16:creationId xmlns:a16="http://schemas.microsoft.com/office/drawing/2014/main" id="{9C59CA62-9879-4470-BA72-ACC8F029F327}"/>
            </a:ext>
          </a:extLst>
        </xdr:cNvPr>
        <xdr:cNvSpPr/>
      </xdr:nvSpPr>
      <xdr:spPr>
        <a:xfrm>
          <a:off x="150719" y="3148292"/>
          <a:ext cx="1922369" cy="647702"/>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445868</xdr:colOff>
      <xdr:row>5</xdr:row>
      <xdr:rowOff>147570</xdr:rowOff>
    </xdr:from>
    <xdr:to>
      <xdr:col>3</xdr:col>
      <xdr:colOff>80493</xdr:colOff>
      <xdr:row>9</xdr:row>
      <xdr:rowOff>80493</xdr:rowOff>
    </xdr:to>
    <xdr:sp macro="" textlink="">
      <xdr:nvSpPr>
        <xdr:cNvPr id="30" name="TextBox 29">
          <a:hlinkClick xmlns:r="http://schemas.openxmlformats.org/officeDocument/2006/relationships" r:id="rId14"/>
          <a:extLst>
            <a:ext uri="{FF2B5EF4-FFF2-40B4-BE49-F238E27FC236}">
              <a16:creationId xmlns:a16="http://schemas.microsoft.com/office/drawing/2014/main" id="{3CB417AA-256D-D818-A3C5-62AC2A814D26}"/>
            </a:ext>
          </a:extLst>
        </xdr:cNvPr>
        <xdr:cNvSpPr txBox="1"/>
      </xdr:nvSpPr>
      <xdr:spPr>
        <a:xfrm>
          <a:off x="445868" y="1086655"/>
          <a:ext cx="1445717" cy="684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 </a:t>
          </a:r>
          <a:r>
            <a:rPr lang="en-US" sz="1800" b="1"/>
            <a:t>DASHBOARD</a:t>
          </a:r>
        </a:p>
      </xdr:txBody>
    </xdr:sp>
    <xdr:clientData/>
  </xdr:twoCellAnchor>
  <xdr:twoCellAnchor>
    <xdr:from>
      <xdr:col>0</xdr:col>
      <xdr:colOff>392206</xdr:colOff>
      <xdr:row>11</xdr:row>
      <xdr:rowOff>168089</xdr:rowOff>
    </xdr:from>
    <xdr:to>
      <xdr:col>3</xdr:col>
      <xdr:colOff>14007</xdr:colOff>
      <xdr:row>14</xdr:row>
      <xdr:rowOff>0</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7A04E5F7-D209-AA38-1FC9-5FC937E89CDA}"/>
            </a:ext>
          </a:extLst>
        </xdr:cNvPr>
        <xdr:cNvSpPr txBox="1"/>
      </xdr:nvSpPr>
      <xdr:spPr>
        <a:xfrm>
          <a:off x="392206" y="2325221"/>
          <a:ext cx="1470772" cy="42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PIVOT</a:t>
          </a:r>
        </a:p>
      </xdr:txBody>
    </xdr:sp>
    <xdr:clientData/>
  </xdr:twoCellAnchor>
  <xdr:twoCellAnchor>
    <xdr:from>
      <xdr:col>0</xdr:col>
      <xdr:colOff>448235</xdr:colOff>
      <xdr:row>16</xdr:row>
      <xdr:rowOff>98052</xdr:rowOff>
    </xdr:from>
    <xdr:to>
      <xdr:col>3</xdr:col>
      <xdr:colOff>168088</xdr:colOff>
      <xdr:row>19</xdr:row>
      <xdr:rowOff>28015</xdr:rowOff>
    </xdr:to>
    <xdr:sp macro="" textlink="">
      <xdr:nvSpPr>
        <xdr:cNvPr id="34" name="TextBox 33">
          <a:hlinkClick xmlns:r="http://schemas.openxmlformats.org/officeDocument/2006/relationships" r:id="rId16"/>
          <a:extLst>
            <a:ext uri="{FF2B5EF4-FFF2-40B4-BE49-F238E27FC236}">
              <a16:creationId xmlns:a16="http://schemas.microsoft.com/office/drawing/2014/main" id="{FAA880FD-2B93-BC70-1D01-C4A88C2BE565}"/>
            </a:ext>
          </a:extLst>
        </xdr:cNvPr>
        <xdr:cNvSpPr txBox="1"/>
      </xdr:nvSpPr>
      <xdr:spPr>
        <a:xfrm>
          <a:off x="448235" y="3235699"/>
          <a:ext cx="1568824" cy="518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     </a:t>
          </a:r>
          <a:r>
            <a:rPr lang="en-US" sz="1800" b="1"/>
            <a:t>DATA</a:t>
          </a:r>
        </a:p>
      </xdr:txBody>
    </xdr:sp>
    <xdr:clientData/>
  </xdr:twoCellAnchor>
  <xdr:twoCellAnchor>
    <xdr:from>
      <xdr:col>9</xdr:col>
      <xdr:colOff>96130</xdr:colOff>
      <xdr:row>28</xdr:row>
      <xdr:rowOff>14008</xdr:rowOff>
    </xdr:from>
    <xdr:to>
      <xdr:col>14</xdr:col>
      <xdr:colOff>266140</xdr:colOff>
      <xdr:row>37</xdr:row>
      <xdr:rowOff>140073</xdr:rowOff>
    </xdr:to>
    <xdr:graphicFrame macro="">
      <xdr:nvGraphicFramePr>
        <xdr:cNvPr id="35" name="Chart 34">
          <a:extLst>
            <a:ext uri="{FF2B5EF4-FFF2-40B4-BE49-F238E27FC236}">
              <a16:creationId xmlns:a16="http://schemas.microsoft.com/office/drawing/2014/main" id="{FA71F5CF-7497-42B6-947E-9D69C250A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20</xdr:col>
      <xdr:colOff>496372</xdr:colOff>
      <xdr:row>30</xdr:row>
      <xdr:rowOff>80492</xdr:rowOff>
    </xdr:from>
    <xdr:to>
      <xdr:col>25</xdr:col>
      <xdr:colOff>53661</xdr:colOff>
      <xdr:row>36</xdr:row>
      <xdr:rowOff>134154</xdr:rowOff>
    </xdr:to>
    <mc:AlternateContent xmlns:mc="http://schemas.openxmlformats.org/markup-compatibility/2006" xmlns:a14="http://schemas.microsoft.com/office/drawing/2010/main">
      <mc:Choice Requires="a14">
        <xdr:graphicFrame macro="">
          <xdr:nvGraphicFramePr>
            <xdr:cNvPr id="37" name="month">
              <a:extLst>
                <a:ext uri="{FF2B5EF4-FFF2-40B4-BE49-F238E27FC236}">
                  <a16:creationId xmlns:a16="http://schemas.microsoft.com/office/drawing/2014/main" id="{9F6D60EA-6BDB-4905-9D3D-BCAF4814EF8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506155" y="5671253"/>
              <a:ext cx="2559734" cy="11718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6.442602430558" createdVersion="8" refreshedVersion="8" minRefreshableVersion="3" recordCount="80" xr:uid="{E4DA2F61-31CC-4AA9-A2DC-CF0A0C94DAC3}">
  <cacheSource type="worksheet">
    <worksheetSource ref="A1:P81" sheet="DATA"/>
  </cacheSource>
  <cacheFields count="17">
    <cacheField name="Order_ID" numFmtId="0">
      <sharedItems/>
    </cacheField>
    <cacheField name="Order_Date" numFmtId="164">
      <sharedItems containsSemiMixedTypes="0" containsNonDate="0" containsDate="1" containsString="0" minDate="2026-01-01T00:00:00" maxDate="2026-07-01T00:00:00" count="80">
        <d v="2026-01-01T00:00:00"/>
        <d v="2026-01-03T06:41:01"/>
        <d v="2026-01-05T13:22:02"/>
        <d v="2026-01-07T20:03:02"/>
        <d v="2026-01-10T02:44:03"/>
        <d v="2026-01-12T09:25:04"/>
        <d v="2026-01-14T16:06:05"/>
        <d v="2026-01-16T22:47:05"/>
        <d v="2026-01-19T05:28:06"/>
        <d v="2026-01-21T12:09:07"/>
        <d v="2026-01-23T18:50:08"/>
        <d v="2026-01-26T01:31:08"/>
        <d v="2026-01-28T08:12:09"/>
        <d v="2026-01-30T14:53:10"/>
        <d v="2026-02-01T21:34:11"/>
        <d v="2026-02-04T04:15:11"/>
        <d v="2026-02-06T10:56:12"/>
        <d v="2026-02-08T17:37:13"/>
        <d v="2026-02-11T00:18:14"/>
        <d v="2026-02-13T06:59:14"/>
        <d v="2026-02-15T13:40:15"/>
        <d v="2026-02-17T20:21:16"/>
        <d v="2026-02-20T03:02:17"/>
        <d v="2026-02-22T09:43:17"/>
        <d v="2026-02-24T16:24:18"/>
        <d v="2026-02-26T23:05:19"/>
        <d v="2026-03-01T05:46:20"/>
        <d v="2026-03-03T12:27:21"/>
        <d v="2026-03-05T19:08:21"/>
        <d v="2026-03-08T01:49:22"/>
        <d v="2026-03-10T08:30:23"/>
        <d v="2026-03-12T15:11:24"/>
        <d v="2026-03-14T21:52:24"/>
        <d v="2026-03-17T04:33:25"/>
        <d v="2026-03-19T11:14:26"/>
        <d v="2026-03-21T17:55:27"/>
        <d v="2026-03-24T00:36:27"/>
        <d v="2026-03-26T07:17:28"/>
        <d v="2026-03-28T13:58:29"/>
        <d v="2026-03-30T20:39:30"/>
        <d v="2026-04-02T03:20:30"/>
        <d v="2026-04-04T10:01:31"/>
        <d v="2026-04-06T16:42:32"/>
        <d v="2026-04-08T23:23:33"/>
        <d v="2026-04-11T06:04:33"/>
        <d v="2026-04-13T12:45:34"/>
        <d v="2026-04-15T19:26:35"/>
        <d v="2026-04-18T02:07:36"/>
        <d v="2026-04-20T08:48:36"/>
        <d v="2026-04-22T15:29:37"/>
        <d v="2026-04-24T22:10:38"/>
        <d v="2026-04-27T04:51:39"/>
        <d v="2026-04-29T11:32:39"/>
        <d v="2026-05-01T18:13:40"/>
        <d v="2026-05-04T00:54:41"/>
        <d v="2026-05-06T07:35:42"/>
        <d v="2026-05-08T14:16:43"/>
        <d v="2026-05-10T20:57:43"/>
        <d v="2026-05-13T03:38:44"/>
        <d v="2026-05-15T10:19:45"/>
        <d v="2026-05-17T17:00:46"/>
        <d v="2026-05-19T23:41:46"/>
        <d v="2026-05-22T06:22:47"/>
        <d v="2026-05-24T13:03:48"/>
        <d v="2026-05-26T19:44:49"/>
        <d v="2026-05-29T02:25:49"/>
        <d v="2026-05-31T09:06:50"/>
        <d v="2026-06-02T15:47:51"/>
        <d v="2026-06-04T22:28:52"/>
        <d v="2026-06-07T05:09:52"/>
        <d v="2026-06-09T11:50:53"/>
        <d v="2026-06-11T18:31:54"/>
        <d v="2026-06-14T01:12:55"/>
        <d v="2026-06-16T07:53:55"/>
        <d v="2026-06-18T14:34:56"/>
        <d v="2026-06-20T21:15:57"/>
        <d v="2026-06-23T03:56:58"/>
        <d v="2026-06-25T10:37:58"/>
        <d v="2026-06-27T17:18:59"/>
        <d v="2026-06-30T00:00:00"/>
      </sharedItems>
      <fieldGroup par="16" base="1">
        <rangePr groupBy="days" startDate="2026-01-01T00:00:00" endDate="2026-07-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6"/>
        </groupItems>
      </fieldGroup>
    </cacheField>
    <cacheField name="Customer" numFmtId="0">
      <sharedItems/>
    </cacheField>
    <cacheField name="Product" numFmtId="0">
      <sharedItems count="6">
        <s v="Monitor"/>
        <s v="Headset"/>
        <s v="Keyboard"/>
        <s v="Mouse"/>
        <s v="Laptop"/>
        <s v="Mouse "/>
      </sharedItems>
    </cacheField>
    <cacheField name="Category" numFmtId="0">
      <sharedItems count="2">
        <s v="Electronics"/>
        <s v="Accessories"/>
      </sharedItems>
    </cacheField>
    <cacheField name="Region" numFmtId="0">
      <sharedItems count="4">
        <s v="North"/>
        <s v="South"/>
        <s v="East"/>
        <s v="West"/>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1749.7058823529412" maxValue="55499"/>
    </cacheField>
    <cacheField name="Discount_%" numFmtId="0">
      <sharedItems containsSemiMixedTypes="0" containsString="0" containsNumber="1" minValue="0" maxValue="15" count="5">
        <n v="0"/>
        <n v="5"/>
        <n v="10"/>
        <n v="15"/>
        <n v="9.9999999999999982"/>
      </sharedItems>
    </cacheField>
    <cacheField name="Payment_Mode" numFmtId="0">
      <sharedItems count="5">
        <s v="Cash"/>
        <s v="UPI"/>
        <s v="Net Banking"/>
        <s v="Card"/>
        <s v="Card "/>
      </sharedItems>
    </cacheField>
    <cacheField name="Sales" numFmtId="0">
      <sharedItems containsSemiMixedTypes="0" containsString="0" containsNumber="1" minValue="1045" maxValue="262162"/>
    </cacheField>
    <cacheField name="Cost" numFmtId="0">
      <sharedItems containsSemiMixedTypes="0" containsString="0" containsNumber="1" minValue="676.18" maxValue="204668.87"/>
    </cacheField>
    <cacheField name="Profit" numFmtId="0">
      <sharedItems containsSemiMixedTypes="0" containsString="0" containsNumber="1" minValue="244.13" maxValue="74991.78"/>
    </cacheField>
    <cacheField name="month" numFmtId="0">
      <sharedItems count="6">
        <s v="January"/>
        <s v="February"/>
        <s v="March"/>
        <s v="April"/>
        <s v="May"/>
        <s v="June"/>
      </sharedItems>
    </cacheField>
    <cacheField name="month.no" numFmtId="0">
      <sharedItems containsSemiMixedTypes="0" containsString="0" containsNumber="1" containsInteger="1" minValue="1" maxValue="6" count="6">
        <n v="1"/>
        <n v="2"/>
        <n v="3"/>
        <n v="4"/>
        <n v="5"/>
        <n v="6"/>
      </sharedItems>
    </cacheField>
    <cacheField name="profit margin % " numFmtId="9">
      <sharedItems containsSemiMixedTypes="0" containsString="0" containsNumber="1" minValue="0.62287868638774735" maxValue="0.81252997601918453"/>
    </cacheField>
    <cacheField name="Months" numFmtId="0" databaseField="0">
      <fieldGroup base="1">
        <rangePr groupBy="months" startDate="2026-01-01T00:00:00" endDate="2026-07-01T00:00:00"/>
        <groupItems count="14">
          <s v="&lt;1/1/2026"/>
          <s v="Jan"/>
          <s v="Feb"/>
          <s v="Mar"/>
          <s v="Apr"/>
          <s v="May"/>
          <s v="Jun"/>
          <s v="Jul"/>
          <s v="Aug"/>
          <s v="Sep"/>
          <s v="Oct"/>
          <s v="Nov"/>
          <s v="Dec"/>
          <s v="&gt;7/1/2026"/>
        </groupItems>
      </fieldGroup>
    </cacheField>
  </cacheFields>
  <extLst>
    <ext xmlns:x14="http://schemas.microsoft.com/office/spreadsheetml/2009/9/main" uri="{725AE2AE-9491-48be-B2B4-4EB974FC3084}">
      <x14:pivotCacheDefinition pivotCacheId="83718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ORD10001"/>
    <x v="0"/>
    <s v="C1001"/>
    <x v="0"/>
    <x v="0"/>
    <x v="0"/>
    <n v="3"/>
    <n v="13962"/>
    <x v="0"/>
    <x v="0"/>
    <n v="41886"/>
    <n v="28238.14"/>
    <n v="13647.86"/>
    <x v="0"/>
    <x v="0"/>
    <n v="0.67416654729503889"/>
  </r>
  <r>
    <s v="ORD10002"/>
    <x v="1"/>
    <s v="C1002"/>
    <x v="1"/>
    <x v="1"/>
    <x v="0"/>
    <n v="1"/>
    <n v="3480"/>
    <x v="1"/>
    <x v="1"/>
    <n v="3306"/>
    <n v="2339.9699999999998"/>
    <n v="966.03"/>
    <x v="0"/>
    <x v="0"/>
    <n v="0.7077949183303085"/>
  </r>
  <r>
    <s v="ORD10003"/>
    <x v="2"/>
    <s v="C1003"/>
    <x v="2"/>
    <x v="1"/>
    <x v="0"/>
    <n v="2"/>
    <n v="2160"/>
    <x v="2"/>
    <x v="0"/>
    <n v="3888"/>
    <n v="2471.5700000000002"/>
    <n v="1416.43"/>
    <x v="0"/>
    <x v="0"/>
    <n v="0.63569187242798353"/>
  </r>
  <r>
    <s v="ORD10004"/>
    <x v="3"/>
    <s v="C1004"/>
    <x v="1"/>
    <x v="1"/>
    <x v="1"/>
    <n v="2"/>
    <n v="3379"/>
    <x v="1"/>
    <x v="0"/>
    <n v="6420.1"/>
    <n v="4013.01"/>
    <n v="2407.09"/>
    <x v="0"/>
    <x v="0"/>
    <n v="0.62506970296412834"/>
  </r>
  <r>
    <s v="ORD10005"/>
    <x v="4"/>
    <s v="C1005"/>
    <x v="1"/>
    <x v="1"/>
    <x v="0"/>
    <n v="4"/>
    <n v="3197"/>
    <x v="2"/>
    <x v="1"/>
    <n v="11509.2"/>
    <n v="9351.57"/>
    <n v="2157.63"/>
    <x v="0"/>
    <x v="0"/>
    <n v="0.81252997601918453"/>
  </r>
  <r>
    <s v="ORD10006"/>
    <x v="5"/>
    <s v="C1006"/>
    <x v="3"/>
    <x v="1"/>
    <x v="0"/>
    <n v="5"/>
    <n v="1276"/>
    <x v="1"/>
    <x v="2"/>
    <n v="6061"/>
    <n v="4771.2"/>
    <n v="1289.8"/>
    <x v="0"/>
    <x v="0"/>
    <n v="0.78719683220590664"/>
  </r>
  <r>
    <s v="ORD10007"/>
    <x v="6"/>
    <s v="C1007"/>
    <x v="2"/>
    <x v="1"/>
    <x v="0"/>
    <n v="1"/>
    <n v="2503"/>
    <x v="0"/>
    <x v="1"/>
    <n v="2503"/>
    <n v="1900.26"/>
    <n v="602.74"/>
    <x v="0"/>
    <x v="0"/>
    <n v="0.75919296843787454"/>
  </r>
  <r>
    <s v="ORD10008"/>
    <x v="7"/>
    <s v="C1008"/>
    <x v="2"/>
    <x v="1"/>
    <x v="2"/>
    <n v="1"/>
    <n v="2391"/>
    <x v="3"/>
    <x v="2"/>
    <n v="2032.35"/>
    <n v="1426.28"/>
    <n v="606.07000000000005"/>
    <x v="0"/>
    <x v="0"/>
    <n v="0.7017885698821561"/>
  </r>
  <r>
    <s v="ORD10009"/>
    <x v="8"/>
    <s v="C1009"/>
    <x v="2"/>
    <x v="1"/>
    <x v="0"/>
    <n v="3"/>
    <n v="2134"/>
    <x v="0"/>
    <x v="1"/>
    <n v="6402"/>
    <n v="4191.13"/>
    <n v="2210.87"/>
    <x v="0"/>
    <x v="0"/>
    <n v="0.65465948141205876"/>
  </r>
  <r>
    <s v="ORD10010"/>
    <x v="9"/>
    <s v="C1010"/>
    <x v="1"/>
    <x v="1"/>
    <x v="3"/>
    <n v="2"/>
    <n v="2994"/>
    <x v="3"/>
    <x v="0"/>
    <n v="5089.8"/>
    <n v="3314.92"/>
    <n v="1774.88"/>
    <x v="0"/>
    <x v="0"/>
    <n v="0.65128688750049113"/>
  </r>
  <r>
    <s v="ORD10011"/>
    <x v="10"/>
    <s v="C1011"/>
    <x v="0"/>
    <x v="0"/>
    <x v="0"/>
    <n v="5"/>
    <n v="14200"/>
    <x v="1"/>
    <x v="0"/>
    <n v="67450"/>
    <n v="45194.78"/>
    <n v="22255.22"/>
    <x v="0"/>
    <x v="0"/>
    <n v="0.670048628613788"/>
  </r>
  <r>
    <s v="ORD10012"/>
    <x v="11"/>
    <s v="C1012"/>
    <x v="2"/>
    <x v="1"/>
    <x v="3"/>
    <n v="4"/>
    <n v="2639"/>
    <x v="2"/>
    <x v="3"/>
    <n v="9500.4"/>
    <n v="6933.82"/>
    <n v="2566.58"/>
    <x v="0"/>
    <x v="0"/>
    <n v="0.72984505915540399"/>
  </r>
  <r>
    <s v="ORD10013"/>
    <x v="12"/>
    <s v="C1013"/>
    <x v="1"/>
    <x v="1"/>
    <x v="3"/>
    <n v="2"/>
    <n v="2832"/>
    <x v="0"/>
    <x v="2"/>
    <n v="5664"/>
    <n v="4321.17"/>
    <n v="1342.83"/>
    <x v="0"/>
    <x v="0"/>
    <n v="0.76291843220338984"/>
  </r>
  <r>
    <s v="ORD10014"/>
    <x v="13"/>
    <s v="C1014"/>
    <x v="3"/>
    <x v="1"/>
    <x v="3"/>
    <n v="4"/>
    <n v="1687"/>
    <x v="3"/>
    <x v="3"/>
    <n v="5735.8"/>
    <n v="4313.55"/>
    <n v="1422.25"/>
    <x v="0"/>
    <x v="0"/>
    <n v="0.75203982007740855"/>
  </r>
  <r>
    <s v="ORD10015"/>
    <x v="14"/>
    <s v="C1015"/>
    <x v="0"/>
    <x v="0"/>
    <x v="2"/>
    <n v="3"/>
    <n v="14259"/>
    <x v="0"/>
    <x v="3"/>
    <n v="42777"/>
    <n v="28916.69"/>
    <n v="13860.31"/>
    <x v="1"/>
    <x v="1"/>
    <n v="0.67598686209879133"/>
  </r>
  <r>
    <s v="ORD10016"/>
    <x v="15"/>
    <s v="C1016"/>
    <x v="3"/>
    <x v="1"/>
    <x v="2"/>
    <n v="3"/>
    <n v="1469"/>
    <x v="3"/>
    <x v="1"/>
    <n v="3745.95"/>
    <n v="3037.86"/>
    <n v="708.09"/>
    <x v="1"/>
    <x v="1"/>
    <n v="0.81097184959756541"/>
  </r>
  <r>
    <s v="ORD10017"/>
    <x v="16"/>
    <s v="C1017"/>
    <x v="0"/>
    <x v="0"/>
    <x v="2"/>
    <n v="1"/>
    <n v="14174"/>
    <x v="0"/>
    <x v="3"/>
    <n v="14174"/>
    <n v="10879.67"/>
    <n v="3294.33"/>
    <x v="1"/>
    <x v="1"/>
    <n v="0.76757937067870752"/>
  </r>
  <r>
    <s v="ORD10018"/>
    <x v="17"/>
    <s v="C1018"/>
    <x v="1"/>
    <x v="1"/>
    <x v="0"/>
    <n v="5"/>
    <n v="2821"/>
    <x v="3"/>
    <x v="1"/>
    <n v="11989.25"/>
    <n v="8762.59"/>
    <n v="3226.66"/>
    <x v="1"/>
    <x v="1"/>
    <n v="0.73087057155368351"/>
  </r>
  <r>
    <s v="ORD10019"/>
    <x v="18"/>
    <s v="C1019"/>
    <x v="4"/>
    <x v="0"/>
    <x v="3"/>
    <n v="4"/>
    <n v="55469"/>
    <x v="3"/>
    <x v="1"/>
    <n v="188594.6"/>
    <n v="140002.1"/>
    <n v="48592.5"/>
    <x v="1"/>
    <x v="1"/>
    <n v="0.74234416043725537"/>
  </r>
  <r>
    <s v="ORD10020"/>
    <x v="19"/>
    <s v="C1020"/>
    <x v="0"/>
    <x v="0"/>
    <x v="2"/>
    <n v="2"/>
    <n v="13837"/>
    <x v="1"/>
    <x v="3"/>
    <n v="26290.3"/>
    <n v="18506.27"/>
    <n v="7784.03"/>
    <x v="1"/>
    <x v="1"/>
    <n v="0.70392007698656922"/>
  </r>
  <r>
    <s v="ORD10021"/>
    <x v="20"/>
    <s v="C1021"/>
    <x v="3"/>
    <x v="1"/>
    <x v="2"/>
    <n v="3"/>
    <n v="1229"/>
    <x v="3"/>
    <x v="2"/>
    <n v="3133.95"/>
    <n v="2098.3200000000002"/>
    <n v="1035.6300000000001"/>
    <x v="1"/>
    <x v="1"/>
    <n v="0.66954482362513768"/>
  </r>
  <r>
    <s v="ORD10022"/>
    <x v="21"/>
    <s v="C1022"/>
    <x v="1"/>
    <x v="1"/>
    <x v="0"/>
    <n v="1"/>
    <n v="3164"/>
    <x v="1"/>
    <x v="2"/>
    <n v="3005.8"/>
    <n v="2077.59"/>
    <n v="928.21"/>
    <x v="1"/>
    <x v="1"/>
    <n v="0.69119369219508953"/>
  </r>
  <r>
    <s v="ORD10023"/>
    <x v="22"/>
    <s v="C1023"/>
    <x v="5"/>
    <x v="0"/>
    <x v="2"/>
    <n v="1"/>
    <n v="14362"/>
    <x v="3"/>
    <x v="2"/>
    <n v="12207.7"/>
    <n v="9419.09"/>
    <n v="2788.61"/>
    <x v="1"/>
    <x v="1"/>
    <n v="0.77156958313195767"/>
  </r>
  <r>
    <s v="ORD10024"/>
    <x v="23"/>
    <s v="C1024"/>
    <x v="4"/>
    <x v="0"/>
    <x v="0"/>
    <n v="4"/>
    <n v="55237"/>
    <x v="2"/>
    <x v="2"/>
    <n v="198853.2"/>
    <n v="123861.42"/>
    <n v="74991.78"/>
    <x v="1"/>
    <x v="1"/>
    <n v="0.62287868638774735"/>
  </r>
  <r>
    <s v="ORD10025"/>
    <x v="24"/>
    <s v="C1025"/>
    <x v="4"/>
    <x v="0"/>
    <x v="1"/>
    <n v="3"/>
    <n v="55082"/>
    <x v="2"/>
    <x v="2"/>
    <n v="148721.4"/>
    <n v="95659.77"/>
    <n v="53061.63"/>
    <x v="1"/>
    <x v="1"/>
    <n v="0.64321456091725882"/>
  </r>
  <r>
    <s v="ORD10026"/>
    <x v="25"/>
    <s v="C1026"/>
    <x v="2"/>
    <x v="1"/>
    <x v="2"/>
    <n v="5"/>
    <n v="2026"/>
    <x v="2"/>
    <x v="3"/>
    <n v="9117"/>
    <n v="5736.42"/>
    <n v="3380.58"/>
    <x v="1"/>
    <x v="1"/>
    <n v="0.62920039486673252"/>
  </r>
  <r>
    <s v="ORD10027"/>
    <x v="26"/>
    <s v="C1027"/>
    <x v="2"/>
    <x v="1"/>
    <x v="1"/>
    <n v="3"/>
    <n v="2225"/>
    <x v="3"/>
    <x v="3"/>
    <n v="5673.75"/>
    <n v="3563.94"/>
    <n v="2109.81"/>
    <x v="2"/>
    <x v="2"/>
    <n v="0.62814540647719763"/>
  </r>
  <r>
    <s v="ORD10028"/>
    <x v="27"/>
    <s v="C1028"/>
    <x v="3"/>
    <x v="1"/>
    <x v="0"/>
    <n v="4"/>
    <n v="1276"/>
    <x v="1"/>
    <x v="0"/>
    <n v="4848.8"/>
    <n v="3835.85"/>
    <n v="1012.95"/>
    <x v="2"/>
    <x v="2"/>
    <n v="0.79109264147830383"/>
  </r>
  <r>
    <s v="ORD10029"/>
    <x v="28"/>
    <s v="C1029"/>
    <x v="0"/>
    <x v="0"/>
    <x v="3"/>
    <n v="4"/>
    <n v="14408"/>
    <x v="1"/>
    <x v="2"/>
    <n v="54750.400000000001"/>
    <n v="41650.36"/>
    <n v="13100.04"/>
    <x v="2"/>
    <x v="2"/>
    <n v="0.76073161109325227"/>
  </r>
  <r>
    <s v="ORD10030"/>
    <x v="29"/>
    <s v="C1030"/>
    <x v="0"/>
    <x v="0"/>
    <x v="2"/>
    <n v="3"/>
    <n v="14083"/>
    <x v="3"/>
    <x v="3"/>
    <n v="35911.65"/>
    <n v="25670.9"/>
    <n v="10240.75"/>
    <x v="2"/>
    <x v="2"/>
    <n v="0.71483487948896807"/>
  </r>
  <r>
    <s v="ORD10031"/>
    <x v="30"/>
    <s v="C1031"/>
    <x v="2"/>
    <x v="1"/>
    <x v="0"/>
    <n v="4"/>
    <n v="2480"/>
    <x v="2"/>
    <x v="0"/>
    <n v="8928"/>
    <n v="5710.05"/>
    <n v="3217.95"/>
    <x v="2"/>
    <x v="2"/>
    <n v="0.63956653225806459"/>
  </r>
  <r>
    <s v="ORD10032"/>
    <x v="31"/>
    <s v="C1032"/>
    <x v="0"/>
    <x v="0"/>
    <x v="3"/>
    <n v="3"/>
    <n v="14252"/>
    <x v="4"/>
    <x v="2"/>
    <n v="38480.400000000001"/>
    <n v="27641.360000000001"/>
    <n v="10839.04"/>
    <x v="2"/>
    <x v="2"/>
    <n v="0.71832309435452857"/>
  </r>
  <r>
    <s v="ORD10033"/>
    <x v="32"/>
    <s v="C1033"/>
    <x v="0"/>
    <x v="0"/>
    <x v="3"/>
    <n v="2"/>
    <n v="14458"/>
    <x v="1"/>
    <x v="1"/>
    <n v="27470.2"/>
    <n v="19632.8"/>
    <n v="7837.4"/>
    <x v="2"/>
    <x v="2"/>
    <n v="0.71469446891540644"/>
  </r>
  <r>
    <s v="ORD10034"/>
    <x v="33"/>
    <s v="C1034"/>
    <x v="4"/>
    <x v="0"/>
    <x v="1"/>
    <n v="3"/>
    <n v="55315"/>
    <x v="2"/>
    <x v="0"/>
    <n v="149350.5"/>
    <n v="97770.87"/>
    <n v="51579.63"/>
    <x v="2"/>
    <x v="2"/>
    <n v="0.65464039290126241"/>
  </r>
  <r>
    <s v="ORD10035"/>
    <x v="34"/>
    <s v="C1035"/>
    <x v="2"/>
    <x v="1"/>
    <x v="0"/>
    <n v="3"/>
    <n v="2546"/>
    <x v="0"/>
    <x v="3"/>
    <n v="7638"/>
    <n v="5398.31"/>
    <n v="2239.69"/>
    <x v="2"/>
    <x v="2"/>
    <n v="0.70677009688400105"/>
  </r>
  <r>
    <s v="ORD10036"/>
    <x v="35"/>
    <s v="C1036"/>
    <x v="1"/>
    <x v="1"/>
    <x v="3"/>
    <n v="4"/>
    <n v="2991"/>
    <x v="1"/>
    <x v="1"/>
    <n v="11365.8"/>
    <n v="7952.66"/>
    <n v="3413.14"/>
    <x v="2"/>
    <x v="2"/>
    <n v="0.69970085695683548"/>
  </r>
  <r>
    <s v="ORD10037"/>
    <x v="36"/>
    <s v="C1037"/>
    <x v="2"/>
    <x v="1"/>
    <x v="2"/>
    <n v="4"/>
    <n v="2048"/>
    <x v="2"/>
    <x v="1"/>
    <n v="7372.8"/>
    <n v="5479.24"/>
    <n v="1893.56"/>
    <x v="2"/>
    <x v="2"/>
    <n v="0.74316948784722214"/>
  </r>
  <r>
    <s v="ORD10038"/>
    <x v="37"/>
    <s v="C1038"/>
    <x v="1"/>
    <x v="1"/>
    <x v="2"/>
    <n v="1"/>
    <n v="3311"/>
    <x v="1"/>
    <x v="1"/>
    <n v="3145.45"/>
    <n v="2349.71"/>
    <n v="795.74"/>
    <x v="2"/>
    <x v="2"/>
    <n v="0.74701870956460925"/>
  </r>
  <r>
    <s v="ORD10039"/>
    <x v="38"/>
    <s v="C1039"/>
    <x v="4"/>
    <x v="0"/>
    <x v="1"/>
    <n v="1"/>
    <n v="54816"/>
    <x v="0"/>
    <x v="0"/>
    <n v="54816"/>
    <n v="34482.6"/>
    <n v="20333.400000000001"/>
    <x v="2"/>
    <x v="2"/>
    <n v="0.62906085814360768"/>
  </r>
  <r>
    <s v="ORD10040"/>
    <x v="39"/>
    <s v="C1040"/>
    <x v="3"/>
    <x v="1"/>
    <x v="3"/>
    <n v="2"/>
    <n v="1171"/>
    <x v="1"/>
    <x v="3"/>
    <n v="2224.9"/>
    <n v="1546.13"/>
    <n v="678.77"/>
    <x v="2"/>
    <x v="2"/>
    <n v="0.69492112005033935"/>
  </r>
  <r>
    <s v="ORD10041"/>
    <x v="40"/>
    <s v="C1041"/>
    <x v="0"/>
    <x v="0"/>
    <x v="0"/>
    <n v="1"/>
    <n v="14019"/>
    <x v="1"/>
    <x v="1"/>
    <n v="13318.05"/>
    <n v="9924.24"/>
    <n v="3393.81"/>
    <x v="3"/>
    <x v="3"/>
    <n v="0.74517215358104227"/>
  </r>
  <r>
    <s v="ORD10042"/>
    <x v="41"/>
    <s v="C1042"/>
    <x v="4"/>
    <x v="0"/>
    <x v="2"/>
    <n v="3"/>
    <n v="54957"/>
    <x v="1"/>
    <x v="2"/>
    <n v="156627.45000000001"/>
    <n v="112870.01"/>
    <n v="43757.440000000002"/>
    <x v="3"/>
    <x v="3"/>
    <n v="0.72062725914263426"/>
  </r>
  <r>
    <s v="ORD10043"/>
    <x v="42"/>
    <s v="C1043"/>
    <x v="0"/>
    <x v="0"/>
    <x v="3"/>
    <n v="4"/>
    <n v="14276"/>
    <x v="1"/>
    <x v="1"/>
    <n v="54248.800000000003"/>
    <n v="42926.97"/>
    <n v="11321.83"/>
    <x v="3"/>
    <x v="3"/>
    <n v="0.79129805636253703"/>
  </r>
  <r>
    <s v="ORD10044"/>
    <x v="43"/>
    <s v="C1044"/>
    <x v="3"/>
    <x v="1"/>
    <x v="3"/>
    <n v="1"/>
    <n v="1045"/>
    <x v="0"/>
    <x v="1"/>
    <n v="1045"/>
    <n v="785.57"/>
    <n v="259.43"/>
    <x v="3"/>
    <x v="3"/>
    <n v="0.75174162679425838"/>
  </r>
  <r>
    <s v="ORD10045"/>
    <x v="44"/>
    <s v="C1045"/>
    <x v="3"/>
    <x v="1"/>
    <x v="1"/>
    <n v="1"/>
    <n v="1372"/>
    <x v="3"/>
    <x v="0"/>
    <n v="1166.2"/>
    <n v="761.05"/>
    <n v="405.15"/>
    <x v="3"/>
    <x v="3"/>
    <n v="0.65258960727147997"/>
  </r>
  <r>
    <s v="ORD10046"/>
    <x v="45"/>
    <s v="C1046"/>
    <x v="4"/>
    <x v="0"/>
    <x v="2"/>
    <n v="2"/>
    <n v="55317"/>
    <x v="1"/>
    <x v="0"/>
    <n v="105102.3"/>
    <n v="66646.81"/>
    <n v="38455.49"/>
    <x v="3"/>
    <x v="3"/>
    <n v="0.63411371587491416"/>
  </r>
  <r>
    <s v="ORD10047"/>
    <x v="46"/>
    <s v="C1047"/>
    <x v="3"/>
    <x v="1"/>
    <x v="2"/>
    <n v="2"/>
    <n v="1098"/>
    <x v="1"/>
    <x v="3"/>
    <n v="2086.1999999999998"/>
    <n v="1561.49"/>
    <n v="524.71"/>
    <x v="3"/>
    <x v="3"/>
    <n v="0.74848528424887362"/>
  </r>
  <r>
    <s v="ORD10048"/>
    <x v="47"/>
    <s v="C1048"/>
    <x v="1"/>
    <x v="1"/>
    <x v="0"/>
    <n v="3"/>
    <n v="2836"/>
    <x v="2"/>
    <x v="2"/>
    <n v="7657.2"/>
    <n v="4788.0600000000004"/>
    <n v="2869.14"/>
    <x v="3"/>
    <x v="3"/>
    <n v="0.62530167685315785"/>
  </r>
  <r>
    <s v="ORD10049"/>
    <x v="48"/>
    <s v="C1049"/>
    <x v="3"/>
    <x v="1"/>
    <x v="2"/>
    <n v="4"/>
    <n v="1279"/>
    <x v="1"/>
    <x v="0"/>
    <n v="4860.2"/>
    <n v="3582.72"/>
    <n v="1277.48"/>
    <x v="3"/>
    <x v="3"/>
    <n v="0.73715484959466693"/>
  </r>
  <r>
    <s v="ORD10050"/>
    <x v="49"/>
    <s v="C1050"/>
    <x v="0"/>
    <x v="0"/>
    <x v="0"/>
    <n v="2"/>
    <n v="14148"/>
    <x v="2"/>
    <x v="1"/>
    <n v="25466.400000000001"/>
    <n v="20578.02"/>
    <n v="4888.38"/>
    <x v="3"/>
    <x v="3"/>
    <n v="0.80804589576854202"/>
  </r>
  <r>
    <s v="ORD10051"/>
    <x v="50"/>
    <s v="C1051"/>
    <x v="0"/>
    <x v="0"/>
    <x v="2"/>
    <n v="1"/>
    <n v="14296"/>
    <x v="3"/>
    <x v="3"/>
    <n v="12151.6"/>
    <n v="8932.58"/>
    <n v="3219.02"/>
    <x v="3"/>
    <x v="3"/>
    <n v="0.73509496691793674"/>
  </r>
  <r>
    <s v="ORD10052"/>
    <x v="51"/>
    <s v="C1052"/>
    <x v="0"/>
    <x v="0"/>
    <x v="1"/>
    <n v="4"/>
    <n v="14101"/>
    <x v="0"/>
    <x v="1"/>
    <n v="56404"/>
    <n v="39349.35"/>
    <n v="17054.650000000001"/>
    <x v="3"/>
    <x v="3"/>
    <n v="0.69763403304730154"/>
  </r>
  <r>
    <s v="ORD10053"/>
    <x v="52"/>
    <s v="C1053"/>
    <x v="0"/>
    <x v="0"/>
    <x v="2"/>
    <n v="4"/>
    <n v="13980"/>
    <x v="0"/>
    <x v="1"/>
    <n v="55920"/>
    <n v="41864.94"/>
    <n v="14055.06"/>
    <x v="3"/>
    <x v="3"/>
    <n v="0.74865772532188846"/>
  </r>
  <r>
    <s v="ORD10054"/>
    <x v="53"/>
    <s v="C1054"/>
    <x v="1"/>
    <x v="1"/>
    <x v="0"/>
    <n v="1"/>
    <n v="3406"/>
    <x v="3"/>
    <x v="0"/>
    <n v="2895.1"/>
    <n v="2060.3000000000002"/>
    <n v="834.8"/>
    <x v="4"/>
    <x v="4"/>
    <n v="0.71165072018237718"/>
  </r>
  <r>
    <s v="ORD10055"/>
    <x v="54"/>
    <s v="C1055"/>
    <x v="2"/>
    <x v="1"/>
    <x v="0"/>
    <n v="2"/>
    <n v="2098"/>
    <x v="0"/>
    <x v="3"/>
    <n v="4196"/>
    <n v="3059.4"/>
    <n v="1136.5999999999999"/>
    <x v="4"/>
    <x v="4"/>
    <n v="0.72912297426120121"/>
  </r>
  <r>
    <s v="ORD10056"/>
    <x v="55"/>
    <s v="C1056"/>
    <x v="4"/>
    <x v="0"/>
    <x v="1"/>
    <n v="1"/>
    <n v="55499"/>
    <x v="3"/>
    <x v="4"/>
    <n v="47174.15"/>
    <n v="38130.53"/>
    <n v="9043.6200000000008"/>
    <x v="4"/>
    <x v="4"/>
    <n v="0.80829288922004949"/>
  </r>
  <r>
    <s v="ORD10057"/>
    <x v="56"/>
    <s v="C1057"/>
    <x v="0"/>
    <x v="0"/>
    <x v="2"/>
    <n v="4"/>
    <n v="13915"/>
    <x v="3"/>
    <x v="2"/>
    <n v="47311"/>
    <n v="32986.199999999997"/>
    <n v="14324.8"/>
    <x v="4"/>
    <x v="4"/>
    <n v="0.69722051954091013"/>
  </r>
  <r>
    <s v="ORD10058"/>
    <x v="57"/>
    <s v="C1058"/>
    <x v="3"/>
    <x v="1"/>
    <x v="2"/>
    <n v="5"/>
    <n v="1190"/>
    <x v="3"/>
    <x v="0"/>
    <n v="5057.5"/>
    <n v="4107.8900000000003"/>
    <n v="949.61"/>
    <x v="4"/>
    <x v="4"/>
    <n v="0.81223727137913992"/>
  </r>
  <r>
    <s v="ORD10059"/>
    <x v="58"/>
    <s v="C1059"/>
    <x v="0"/>
    <x v="0"/>
    <x v="1"/>
    <n v="5"/>
    <n v="14052"/>
    <x v="0"/>
    <x v="0"/>
    <n v="70260"/>
    <n v="56283.19"/>
    <n v="13976.81"/>
    <x v="4"/>
    <x v="4"/>
    <n v="0.8010701679476232"/>
  </r>
  <r>
    <s v="ORD10060"/>
    <x v="59"/>
    <s v="C1060"/>
    <x v="3"/>
    <x v="1"/>
    <x v="2"/>
    <n v="3"/>
    <n v="1160"/>
    <x v="2"/>
    <x v="3"/>
    <n v="3132"/>
    <n v="2064.48"/>
    <n v="1067.52"/>
    <x v="4"/>
    <x v="4"/>
    <n v="0.65915708812260532"/>
  </r>
  <r>
    <s v="ORD10061"/>
    <x v="60"/>
    <s v="C1061"/>
    <x v="3"/>
    <x v="1"/>
    <x v="2"/>
    <n v="1"/>
    <n v="1255"/>
    <x v="3"/>
    <x v="2"/>
    <n v="1066.75"/>
    <n v="676.18"/>
    <n v="390.57"/>
    <x v="4"/>
    <x v="4"/>
    <n v="0.6338692289664869"/>
  </r>
  <r>
    <s v="ORD10062"/>
    <x v="61"/>
    <s v="C1062"/>
    <x v="0"/>
    <x v="0"/>
    <x v="0"/>
    <n v="1"/>
    <n v="14122"/>
    <x v="1"/>
    <x v="2"/>
    <n v="13415.9"/>
    <n v="8588.26"/>
    <n v="4827.6400000000003"/>
    <x v="4"/>
    <x v="4"/>
    <n v="0.64015533806900771"/>
  </r>
  <r>
    <s v="ORD10063"/>
    <x v="62"/>
    <s v="C1063"/>
    <x v="1"/>
    <x v="1"/>
    <x v="2"/>
    <n v="3"/>
    <n v="2927"/>
    <x v="0"/>
    <x v="2"/>
    <n v="8781"/>
    <n v="5476.22"/>
    <n v="3304.78"/>
    <x v="4"/>
    <x v="4"/>
    <n v="0.62364423186425244"/>
  </r>
  <r>
    <s v="ORD10064"/>
    <x v="63"/>
    <s v="C1064"/>
    <x v="3"/>
    <x v="1"/>
    <x v="2"/>
    <n v="3"/>
    <n v="1017"/>
    <x v="3"/>
    <x v="1"/>
    <n v="2593.35"/>
    <n v="1656.86"/>
    <n v="936.49"/>
    <x v="4"/>
    <x v="4"/>
    <n v="0.63888792488480151"/>
  </r>
  <r>
    <s v="ORD10065"/>
    <x v="64"/>
    <s v="C1065"/>
    <x v="3"/>
    <x v="1"/>
    <x v="1"/>
    <n v="3"/>
    <n v="1565"/>
    <x v="3"/>
    <x v="2"/>
    <n v="3990.75"/>
    <n v="3019.41"/>
    <n v="971.34"/>
    <x v="4"/>
    <x v="4"/>
    <n v="0.75660214245442581"/>
  </r>
  <r>
    <s v="ORD10066"/>
    <x v="65"/>
    <s v="C1066"/>
    <x v="0"/>
    <x v="0"/>
    <x v="1"/>
    <n v="4"/>
    <n v="14369"/>
    <x v="1"/>
    <x v="1"/>
    <n v="54602.2"/>
    <n v="34630.78"/>
    <n v="19971.419999999998"/>
    <x v="4"/>
    <x v="4"/>
    <n v="0.63423781459355122"/>
  </r>
  <r>
    <s v="ORD10067"/>
    <x v="66"/>
    <s v="C1067"/>
    <x v="3"/>
    <x v="1"/>
    <x v="3"/>
    <n v="1"/>
    <n v="-1749.7058823529412"/>
    <x v="2"/>
    <x v="3"/>
    <n v="1189.8"/>
    <n v="813.58"/>
    <n v="376.22"/>
    <x v="4"/>
    <x v="4"/>
    <n v="0.68379559589847039"/>
  </r>
  <r>
    <s v="ORD10068"/>
    <x v="67"/>
    <s v="C1068"/>
    <x v="3"/>
    <x v="1"/>
    <x v="0"/>
    <n v="4"/>
    <n v="1685"/>
    <x v="2"/>
    <x v="1"/>
    <n v="6066"/>
    <n v="4785.92"/>
    <n v="1280.08"/>
    <x v="5"/>
    <x v="5"/>
    <n v="0.78897461259479063"/>
  </r>
  <r>
    <s v="ORD10069"/>
    <x v="68"/>
    <s v="C1069"/>
    <x v="0"/>
    <x v="0"/>
    <x v="2"/>
    <n v="3"/>
    <n v="14425"/>
    <x v="2"/>
    <x v="3"/>
    <n v="38947.5"/>
    <n v="24328.73"/>
    <n v="14618.77"/>
    <x v="5"/>
    <x v="5"/>
    <n v="0.62465447076192304"/>
  </r>
  <r>
    <s v="ORD10070"/>
    <x v="69"/>
    <s v="C1070"/>
    <x v="0"/>
    <x v="0"/>
    <x v="2"/>
    <n v="1"/>
    <n v="14087"/>
    <x v="3"/>
    <x v="2"/>
    <n v="11973.95"/>
    <n v="9374.33"/>
    <n v="2599.62"/>
    <x v="5"/>
    <x v="5"/>
    <n v="0.78289369840361778"/>
  </r>
  <r>
    <s v="ORD10071"/>
    <x v="70"/>
    <s v="C1071"/>
    <x v="4"/>
    <x v="0"/>
    <x v="3"/>
    <n v="4"/>
    <n v="55462"/>
    <x v="3"/>
    <x v="2"/>
    <n v="188570.8"/>
    <n v="127543.81"/>
    <n v="61026.99"/>
    <x v="5"/>
    <x v="5"/>
    <n v="0.67637094396375264"/>
  </r>
  <r>
    <s v="ORD10072"/>
    <x v="71"/>
    <s v="C1072"/>
    <x v="1"/>
    <x v="1"/>
    <x v="2"/>
    <n v="4"/>
    <n v="3438"/>
    <x v="3"/>
    <x v="3"/>
    <n v="11689.2"/>
    <n v="7523.55"/>
    <n v="4165.6499999999996"/>
    <x v="5"/>
    <x v="5"/>
    <n v="0.64363258392362177"/>
  </r>
  <r>
    <s v="ORD10073"/>
    <x v="72"/>
    <s v="C1073"/>
    <x v="1"/>
    <x v="1"/>
    <x v="0"/>
    <n v="3"/>
    <n v="2954"/>
    <x v="0"/>
    <x v="0"/>
    <n v="8862"/>
    <n v="6729.34"/>
    <n v="2132.66"/>
    <x v="5"/>
    <x v="5"/>
    <n v="0.75934777702550216"/>
  </r>
  <r>
    <s v="ORD10074"/>
    <x v="73"/>
    <s v="C1074"/>
    <x v="3"/>
    <x v="1"/>
    <x v="3"/>
    <n v="1"/>
    <n v="1489"/>
    <x v="1"/>
    <x v="3"/>
    <n v="1414.55"/>
    <n v="1054.96"/>
    <n v="359.59"/>
    <x v="5"/>
    <x v="5"/>
    <n v="0.74579194796931891"/>
  </r>
  <r>
    <s v="ORD10075"/>
    <x v="74"/>
    <s v="C1075"/>
    <x v="1"/>
    <x v="1"/>
    <x v="0"/>
    <n v="3"/>
    <n v="3185"/>
    <x v="3"/>
    <x v="0"/>
    <n v="8121.75"/>
    <n v="6460.81"/>
    <n v="1660.94"/>
    <x v="5"/>
    <x v="5"/>
    <n v="0.79549481330993943"/>
  </r>
  <r>
    <s v="ORD10076"/>
    <x v="75"/>
    <s v="C1076"/>
    <x v="3"/>
    <x v="1"/>
    <x v="3"/>
    <n v="1"/>
    <n v="1103"/>
    <x v="1"/>
    <x v="1"/>
    <n v="1047.8499999999999"/>
    <n v="803.72"/>
    <n v="244.13"/>
    <x v="5"/>
    <x v="5"/>
    <n v="0.76701818008302725"/>
  </r>
  <r>
    <s v="ORD10077"/>
    <x v="76"/>
    <s v="C1077"/>
    <x v="4"/>
    <x v="0"/>
    <x v="3"/>
    <n v="5"/>
    <n v="55192"/>
    <x v="1"/>
    <x v="1"/>
    <n v="262162"/>
    <n v="204668.87"/>
    <n v="57493.13"/>
    <x v="5"/>
    <x v="5"/>
    <n v="0.78069617259557067"/>
  </r>
  <r>
    <s v="ORD10078"/>
    <x v="77"/>
    <s v="C1078"/>
    <x v="0"/>
    <x v="0"/>
    <x v="1"/>
    <n v="2"/>
    <n v="14045"/>
    <x v="2"/>
    <x v="1"/>
    <n v="25281"/>
    <n v="17100.240000000002"/>
    <n v="8180.76"/>
    <x v="5"/>
    <x v="5"/>
    <n v="0.67640678770618257"/>
  </r>
  <r>
    <s v="ORD10079"/>
    <x v="78"/>
    <s v="C1079"/>
    <x v="0"/>
    <x v="0"/>
    <x v="0"/>
    <n v="2"/>
    <n v="13975"/>
    <x v="0"/>
    <x v="2"/>
    <n v="27950"/>
    <n v="18320.89"/>
    <n v="9629.11"/>
    <x v="5"/>
    <x v="5"/>
    <n v="0.65548801431127013"/>
  </r>
  <r>
    <s v="ORD10080"/>
    <x v="79"/>
    <s v="C1080"/>
    <x v="0"/>
    <x v="0"/>
    <x v="2"/>
    <n v="2"/>
    <n v="13838"/>
    <x v="3"/>
    <x v="1"/>
    <n v="23524.6"/>
    <n v="18116.830000000002"/>
    <n v="5407.77"/>
    <x v="5"/>
    <x v="5"/>
    <n v="0.770122765105464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7122CB-2CAD-4060-8323-E65E327953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3:J8" firstHeaderRow="1" firstDataRow="1" firstDataCol="1"/>
  <pivotFields count="1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axis="axisRow" showAll="0">
      <items count="5">
        <item x="2"/>
        <item x="0"/>
        <item x="1"/>
        <item x="3"/>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pivotField numFmtId="9" showAll="0"/>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Profit" fld="12" baseField="0" baseItem="0"/>
  </dataFields>
  <chartFormats count="3">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A39BF6-E29A-4911-919C-DDD2FC3CF60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D19" firstHeaderRow="1" firstDataRow="1" firstDataCol="1"/>
  <pivotFields count="1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showAll="0">
      <items count="5">
        <item x="2"/>
        <item x="0"/>
        <item x="1"/>
        <item x="3"/>
        <item t="default"/>
      </items>
    </pivotField>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numFmtId="9" showAll="0"/>
    <pivotField showAll="0">
      <items count="15">
        <item x="0"/>
        <item x="1"/>
        <item x="2"/>
        <item x="3"/>
        <item x="4"/>
        <item x="5"/>
        <item x="6"/>
        <item x="7"/>
        <item x="8"/>
        <item x="9"/>
        <item x="10"/>
        <item x="11"/>
        <item x="12"/>
        <item x="13"/>
        <item t="default"/>
      </items>
    </pivotField>
  </pivotFields>
  <rowFields count="1">
    <field x="13"/>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BADDCF-A986-48CC-97D5-482C30A5CF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2:B17" firstHeaderRow="1" firstDataRow="1" firstDataCol="1"/>
  <pivotFields count="1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axis="axisRow" showAll="0">
      <items count="5">
        <item x="2"/>
        <item x="0"/>
        <item x="1"/>
        <item x="3"/>
        <item t="default"/>
      </items>
    </pivotField>
    <pivotField showAll="0"/>
    <pivotField showAll="0"/>
    <pivotField showAll="0"/>
    <pivotField showAll="0"/>
    <pivotField dataField="1" showAll="0"/>
    <pivotField showAll="0"/>
    <pivotField showAll="0"/>
    <pivotField showAll="0">
      <items count="7">
        <item x="0"/>
        <item x="1"/>
        <item x="2"/>
        <item x="3"/>
        <item x="4"/>
        <item x="5"/>
        <item t="default"/>
      </items>
    </pivotField>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i>
    <i>
      <x v="1"/>
    </i>
    <i>
      <x v="2"/>
    </i>
    <i>
      <x v="3"/>
    </i>
    <i t="grand">
      <x/>
    </i>
  </rowItems>
  <colItems count="1">
    <i/>
  </colItems>
  <dataFields count="1">
    <dataField name="Sum of Sales" fld="10" baseField="0" baseItem="0"/>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FBD36E-3136-4073-B499-31FCD5F24F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6" firstHeaderRow="1" firstDataRow="1" firstDataCol="1"/>
  <pivotFields count="1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3">
        <item x="1"/>
        <item x="0"/>
        <item t="default"/>
      </items>
    </pivotField>
    <pivotField showAll="0">
      <items count="5">
        <item x="2"/>
        <item x="0"/>
        <item x="1"/>
        <item x="3"/>
        <item t="default"/>
      </items>
    </pivotField>
    <pivotField showAll="0"/>
    <pivotField showAll="0"/>
    <pivotField showAll="0"/>
    <pivotField showAll="0"/>
    <pivotField dataField="1" showAll="0"/>
    <pivotField showAll="0"/>
    <pivotField showAll="0"/>
    <pivotField showAll="0">
      <items count="7">
        <item x="0"/>
        <item x="1"/>
        <item x="2"/>
        <item x="3"/>
        <item x="4"/>
        <item x="5"/>
        <item t="default"/>
      </items>
    </pivotField>
    <pivotField showAll="0"/>
    <pivotField numFmtId="9" showAll="0"/>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21D455-86C8-45B7-980D-0634A9127F3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3:M6" firstHeaderRow="1" firstDataRow="1" firstDataCol="1"/>
  <pivotFields count="1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3">
        <item x="1"/>
        <item x="0"/>
        <item t="default"/>
      </items>
    </pivotField>
    <pivotField showAll="0">
      <items count="5">
        <item x="2"/>
        <item x="0"/>
        <item x="1"/>
        <item x="3"/>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pivotField numFmtId="9" showAll="0"/>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Profit" fld="12"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42D246-FD5E-4858-BD5C-8C58A72F635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12:K18" firstHeaderRow="1" firstDataRow="1" firstDataCol="1"/>
  <pivotFields count="1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showAll="0">
      <items count="5">
        <item x="2"/>
        <item x="0"/>
        <item x="1"/>
        <item x="3"/>
        <item t="default"/>
      </items>
    </pivotField>
    <pivotField showAll="0"/>
    <pivotField showAll="0"/>
    <pivotField axis="axisRow" showAll="0">
      <items count="6">
        <item x="0"/>
        <item x="1"/>
        <item x="4"/>
        <item x="2"/>
        <item x="3"/>
        <item t="default"/>
      </items>
    </pivotField>
    <pivotField showAll="0"/>
    <pivotField dataField="1" showAll="0"/>
    <pivotField showAll="0"/>
    <pivotField showAll="0"/>
    <pivotField showAll="0">
      <items count="7">
        <item x="0"/>
        <item x="1"/>
        <item x="2"/>
        <item x="3"/>
        <item x="4"/>
        <item x="5"/>
        <item t="default"/>
      </items>
    </pivotField>
    <pivotField showAll="0"/>
    <pivotField numFmtId="9" showAll="0"/>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dataFields count="1">
    <dataField name="Sum of Sales" fld="10" baseField="8"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1A1FDF-DAA3-4593-ABBE-BFAE1846B7A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1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showAll="0">
      <items count="5">
        <item x="2"/>
        <item x="0"/>
        <item x="1"/>
        <item x="3"/>
        <item t="default"/>
      </items>
    </pivotField>
    <pivotField showAll="0"/>
    <pivotField showAll="0"/>
    <pivotField showAll="0"/>
    <pivotField showAll="0"/>
    <pivotField dataField="1" showAll="0"/>
    <pivotField showAll="0"/>
    <pivotField showAll="0"/>
    <pivotField showAll="0">
      <items count="7">
        <item x="0"/>
        <item x="1"/>
        <item x="2"/>
        <item x="3"/>
        <item x="4"/>
        <item x="5"/>
        <item t="default"/>
      </items>
    </pivotField>
    <pivotField showAll="0"/>
    <pivotField numFmtId="9"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A5CF54-9A9F-4F2F-BF30-0232075DDDE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2:H19" firstHeaderRow="1" firstDataRow="1" firstDataCol="1"/>
  <pivotFields count="1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7">
        <item x="1"/>
        <item x="2"/>
        <item x="4"/>
        <item x="0"/>
        <item x="3"/>
        <item x="5"/>
        <item t="default"/>
      </items>
    </pivotField>
    <pivotField showAll="0">
      <items count="3">
        <item x="1"/>
        <item x="0"/>
        <item t="default"/>
      </items>
    </pivotField>
    <pivotField showAll="0">
      <items count="5">
        <item x="2"/>
        <item x="0"/>
        <item x="1"/>
        <item x="3"/>
        <item t="default"/>
      </items>
    </pivotField>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pivotField numFmtId="9" showAll="0"/>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Quantity" fld="6" baseField="0" baseItem="0"/>
  </dataField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6ACED2-5D53-47B9-AC65-0AAFC191797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1:G22" firstHeaderRow="1" firstDataRow="1" firstDataCol="0"/>
  <pivotFields count="1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3">
        <item x="1"/>
        <item x="0"/>
        <item t="default"/>
      </items>
    </pivotField>
    <pivotField showAll="0">
      <items count="5">
        <item x="2"/>
        <item x="0"/>
        <item x="1"/>
        <item x="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numFmtId="9"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ustom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0DC4BF-4437-4EC4-9D15-E7BFEE65156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1:E22" firstHeaderRow="1" firstDataRow="1" firstDataCol="0"/>
  <pivotFields count="1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showAll="0">
      <items count="5">
        <item x="2"/>
        <item x="0"/>
        <item x="1"/>
        <item x="3"/>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pivotField numFmtId="9"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73984F-8959-42E1-8BE5-B0818034272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G9" firstHeaderRow="1" firstDataRow="1" firstDataCol="1"/>
  <pivotFields count="1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7">
        <item x="1"/>
        <item x="2"/>
        <item x="4"/>
        <item x="0"/>
        <item x="3"/>
        <item x="5"/>
        <item t="default"/>
      </items>
    </pivotField>
    <pivotField showAll="0">
      <items count="3">
        <item x="1"/>
        <item x="0"/>
        <item t="default"/>
      </items>
    </pivotField>
    <pivotField showAll="0">
      <items count="5">
        <item x="2"/>
        <item x="0"/>
        <item x="1"/>
        <item x="3"/>
        <item t="default"/>
      </items>
    </pivotField>
    <pivotField showAll="0"/>
    <pivotField showAll="0"/>
    <pivotField showAll="0"/>
    <pivotField axis="axisRow" dataField="1" showAll="0">
      <items count="6">
        <item x="3"/>
        <item x="4"/>
        <item x="0"/>
        <item x="2"/>
        <item x="1"/>
        <item t="default"/>
      </items>
    </pivotField>
    <pivotField showAll="0"/>
    <pivotField showAll="0"/>
    <pivotField showAll="0"/>
    <pivotField showAll="0">
      <items count="7">
        <item x="0"/>
        <item x="1"/>
        <item x="2"/>
        <item x="3"/>
        <item x="4"/>
        <item x="5"/>
        <item t="default"/>
      </items>
    </pivotField>
    <pivotField showAll="0"/>
    <pivotField numFmtId="9" showAll="0"/>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Count of Payment_Mode" fld="9" subtotal="count" baseField="9" baseItem="2"/>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285C5E9-09AF-42AE-B842-272E5FFD03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8" firstHeaderRow="1" firstDataRow="1" firstDataCol="1"/>
  <pivotFields count="17">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axis="axisRow" showAll="0">
      <items count="5">
        <item x="2"/>
        <item x="0"/>
        <item x="1"/>
        <item x="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numFmtId="9" showAll="0"/>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7CC9076-2E31-4FC0-ACB1-5228B39E089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1:C22" firstHeaderRow="1" firstDataRow="1" firstDataCol="0"/>
  <pivotFields count="17">
    <pivotField dataField="1"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1"/>
        <item x="0"/>
        <item t="default"/>
      </items>
    </pivotField>
    <pivotField showAll="0">
      <items count="5">
        <item x="2"/>
        <item x="0"/>
        <item x="1"/>
        <item x="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numFmtId="9"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_ID" fld="0" subtotal="count" baseField="0" baseItem="0" numFmtId="4"/>
  </dataFields>
  <formats count="4">
    <format dxfId="11">
      <pivotArea type="all" dataOnly="0" outline="0" fieldPosition="0"/>
    </format>
    <format dxfId="10">
      <pivotArea outline="0" collapsedLevelsAreSubtotals="1" fieldPosition="0"/>
    </format>
    <format dxfId="9">
      <pivotArea dataOnly="0" labelOnly="1" outline="0" axis="axisValues"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1376A2-344F-4BA6-8398-5C3CD76D6905}" sourceName="Region">
  <pivotTables>
    <pivotTable tabId="3" name="PivotTable1"/>
    <pivotTable tabId="3" name="PivotTable2"/>
    <pivotTable tabId="3" name="PivotTable4"/>
    <pivotTable tabId="3" name="PivotTable5"/>
    <pivotTable tabId="3" name="PivotTable6"/>
    <pivotTable tabId="3" name="PivotTable7"/>
    <pivotTable tabId="3" name="PivotTable9"/>
    <pivotTable tabId="3" name="PivotTable10"/>
    <pivotTable tabId="3" name="PivotTable11"/>
    <pivotTable tabId="3" name="PivotTable12"/>
    <pivotTable tabId="3" name="PivotTable13"/>
    <pivotTable tabId="3" name="PivotTable3"/>
    <pivotTable tabId="3" name="PivotTable8"/>
  </pivotTables>
  <data>
    <tabular pivotCacheId="8371808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89BF73-EDEB-4541-BB1C-FB4A988BE161}" sourceName="Category">
  <pivotTables>
    <pivotTable tabId="3" name="PivotTable2"/>
    <pivotTable tabId="3" name="PivotTable1"/>
    <pivotTable tabId="3" name="PivotTable10"/>
    <pivotTable tabId="3" name="PivotTable11"/>
    <pivotTable tabId="3" name="PivotTable12"/>
    <pivotTable tabId="3" name="PivotTable13"/>
    <pivotTable tabId="3" name="PivotTable3"/>
    <pivotTable tabId="3" name="PivotTable4"/>
    <pivotTable tabId="3" name="PivotTable5"/>
    <pivotTable tabId="3" name="PivotTable6"/>
    <pivotTable tabId="3" name="PivotTable7"/>
    <pivotTable tabId="3" name="PivotTable9"/>
    <pivotTable tabId="3" name="PivotTable8"/>
  </pivotTables>
  <data>
    <tabular pivotCacheId="8371808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1A2C028-1841-433E-B57B-0FA1A74341E0}" sourceName="month">
  <pivotTables>
    <pivotTable tabId="3" name="PivotTable8"/>
    <pivotTable tabId="3" name="PivotTable1"/>
    <pivotTable tabId="3" name="PivotTable10"/>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9"/>
  </pivotTables>
  <data>
    <tabular pivotCacheId="8371808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0AA192-0B60-4F3A-9CE4-2F0EA432BD61}" cache="Slicer_Region" caption="Region" columnCount="2" style="SlicerStyleLight2" rowHeight="241300"/>
  <slicer name="Category" xr10:uid="{41646035-6124-4980-B1AC-A8C04F629D05}" cache="Slicer_Category" caption="Category" style="SlicerStyleLight2" rowHeight="241300"/>
  <slicer name="month" xr10:uid="{EF369531-8B3F-4C21-9B5B-B3EF6D0F39F5}" cache="Slicer_month" caption="month" columnCount="2" style="SlicerStyleLight2"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7E764-928F-43F7-B042-7804B6125A50}">
  <dimension ref="A3:M22"/>
  <sheetViews>
    <sheetView workbookViewId="0"/>
  </sheetViews>
  <sheetFormatPr defaultRowHeight="15" x14ac:dyDescent="0.25"/>
  <cols>
    <col min="1" max="1" width="13.140625" bestFit="1" customWidth="1"/>
    <col min="2" max="2" width="12.140625" bestFit="1" customWidth="1"/>
    <col min="3" max="3" width="17.28515625" bestFit="1" customWidth="1"/>
    <col min="4" max="4" width="13.140625" bestFit="1" customWidth="1"/>
    <col min="5" max="5" width="12.5703125" bestFit="1" customWidth="1"/>
    <col min="6" max="7" width="13.140625" bestFit="1" customWidth="1"/>
    <col min="8" max="8" width="15.42578125" bestFit="1" customWidth="1"/>
    <col min="9" max="9" width="13.140625" bestFit="1" customWidth="1"/>
    <col min="10" max="10" width="12.5703125" bestFit="1" customWidth="1"/>
    <col min="11" max="11" width="12.140625" bestFit="1" customWidth="1"/>
    <col min="12" max="12" width="13.140625" bestFit="1" customWidth="1"/>
    <col min="13" max="13" width="12.5703125" bestFit="1" customWidth="1"/>
  </cols>
  <sheetData>
    <row r="3" spans="1:13" x14ac:dyDescent="0.25">
      <c r="A3" s="4" t="s">
        <v>192</v>
      </c>
      <c r="C3" s="4" t="s">
        <v>192</v>
      </c>
      <c r="D3" t="s">
        <v>194</v>
      </c>
      <c r="F3" s="4" t="s">
        <v>192</v>
      </c>
      <c r="G3" t="s">
        <v>196</v>
      </c>
      <c r="I3" s="4" t="s">
        <v>192</v>
      </c>
      <c r="J3" t="s">
        <v>195</v>
      </c>
      <c r="L3" s="4" t="s">
        <v>192</v>
      </c>
      <c r="M3" t="s">
        <v>195</v>
      </c>
    </row>
    <row r="4" spans="1:13" x14ac:dyDescent="0.25">
      <c r="A4" s="5" t="s">
        <v>179</v>
      </c>
      <c r="C4" s="5" t="s">
        <v>177</v>
      </c>
      <c r="D4" s="6">
        <v>237219.50000000006</v>
      </c>
      <c r="F4" s="5" t="s">
        <v>185</v>
      </c>
      <c r="G4" s="6">
        <v>18</v>
      </c>
      <c r="I4" s="5" t="s">
        <v>179</v>
      </c>
      <c r="J4" s="6">
        <v>195442.47999999992</v>
      </c>
      <c r="L4" s="5" t="s">
        <v>177</v>
      </c>
      <c r="M4" s="6">
        <v>68550.87</v>
      </c>
    </row>
    <row r="5" spans="1:13" x14ac:dyDescent="0.25">
      <c r="A5" s="5" t="s">
        <v>178</v>
      </c>
      <c r="C5" s="5" t="s">
        <v>176</v>
      </c>
      <c r="D5" s="6">
        <v>2392145.0500000003</v>
      </c>
      <c r="F5" s="5" t="s">
        <v>186</v>
      </c>
      <c r="G5" s="6">
        <v>1</v>
      </c>
      <c r="I5" s="5" t="s">
        <v>178</v>
      </c>
      <c r="J5" s="6">
        <v>162816.98000000004</v>
      </c>
      <c r="L5" s="5" t="s">
        <v>176</v>
      </c>
      <c r="M5" s="6">
        <v>711452.65000000026</v>
      </c>
    </row>
    <row r="6" spans="1:13" x14ac:dyDescent="0.25">
      <c r="A6" s="5" t="s">
        <v>181</v>
      </c>
      <c r="C6" s="5" t="s">
        <v>193</v>
      </c>
      <c r="D6" s="6">
        <v>2629364.5500000003</v>
      </c>
      <c r="F6" s="5" t="s">
        <v>182</v>
      </c>
      <c r="G6" s="6">
        <v>17</v>
      </c>
      <c r="I6" s="5" t="s">
        <v>181</v>
      </c>
      <c r="J6" s="6">
        <v>199095.31</v>
      </c>
      <c r="L6" s="5" t="s">
        <v>193</v>
      </c>
      <c r="M6" s="6">
        <v>780003.52000000025</v>
      </c>
    </row>
    <row r="7" spans="1:13" x14ac:dyDescent="0.25">
      <c r="A7" s="5" t="s">
        <v>180</v>
      </c>
      <c r="F7" s="5" t="s">
        <v>184</v>
      </c>
      <c r="G7" s="6">
        <v>20</v>
      </c>
      <c r="I7" s="5" t="s">
        <v>180</v>
      </c>
      <c r="J7" s="6">
        <v>222648.75</v>
      </c>
    </row>
    <row r="8" spans="1:13" x14ac:dyDescent="0.25">
      <c r="A8" s="5" t="s">
        <v>193</v>
      </c>
      <c r="F8" s="5" t="s">
        <v>183</v>
      </c>
      <c r="G8" s="6">
        <v>24</v>
      </c>
      <c r="I8" s="5" t="s">
        <v>193</v>
      </c>
      <c r="J8" s="6">
        <v>780003.52</v>
      </c>
    </row>
    <row r="9" spans="1:13" x14ac:dyDescent="0.25">
      <c r="F9" s="5" t="s">
        <v>193</v>
      </c>
      <c r="G9" s="6">
        <v>80</v>
      </c>
    </row>
    <row r="12" spans="1:13" x14ac:dyDescent="0.25">
      <c r="A12" s="4" t="s">
        <v>192</v>
      </c>
      <c r="B12" t="s">
        <v>194</v>
      </c>
      <c r="D12" s="4" t="s">
        <v>192</v>
      </c>
      <c r="G12" s="4" t="s">
        <v>192</v>
      </c>
      <c r="H12" t="s">
        <v>197</v>
      </c>
      <c r="J12" s="4" t="s">
        <v>192</v>
      </c>
      <c r="K12" t="s">
        <v>194</v>
      </c>
    </row>
    <row r="13" spans="1:13" x14ac:dyDescent="0.25">
      <c r="A13" s="5" t="s">
        <v>179</v>
      </c>
      <c r="B13" s="6">
        <v>650732.74999999977</v>
      </c>
      <c r="D13" s="5" t="s">
        <v>202</v>
      </c>
      <c r="G13" s="5" t="s">
        <v>171</v>
      </c>
      <c r="H13" s="6">
        <v>39</v>
      </c>
      <c r="J13" s="5">
        <v>0</v>
      </c>
      <c r="K13" s="6">
        <v>409278</v>
      </c>
    </row>
    <row r="14" spans="1:13" x14ac:dyDescent="0.25">
      <c r="A14" s="5" t="s">
        <v>178</v>
      </c>
      <c r="B14" s="6">
        <v>496216.65</v>
      </c>
      <c r="D14" s="5" t="s">
        <v>203</v>
      </c>
      <c r="G14" s="5" t="s">
        <v>172</v>
      </c>
      <c r="H14" s="6">
        <v>32</v>
      </c>
      <c r="J14" s="5">
        <v>5</v>
      </c>
      <c r="K14" s="6">
        <v>885224.24999999988</v>
      </c>
    </row>
    <row r="15" spans="1:13" x14ac:dyDescent="0.25">
      <c r="A15" s="5" t="s">
        <v>181</v>
      </c>
      <c r="B15" s="6">
        <v>623860.05000000005</v>
      </c>
      <c r="D15" s="5" t="s">
        <v>204</v>
      </c>
      <c r="G15" s="5" t="s">
        <v>174</v>
      </c>
      <c r="H15" s="6">
        <v>30</v>
      </c>
      <c r="J15" s="5">
        <v>9.9999999999999982</v>
      </c>
      <c r="K15" s="6">
        <v>38480.400000000001</v>
      </c>
    </row>
    <row r="16" spans="1:13" x14ac:dyDescent="0.25">
      <c r="A16" s="5" t="s">
        <v>180</v>
      </c>
      <c r="B16" s="6">
        <v>858555.1</v>
      </c>
      <c r="D16" s="5" t="s">
        <v>205</v>
      </c>
      <c r="G16" s="5" t="s">
        <v>170</v>
      </c>
      <c r="H16" s="6">
        <v>66</v>
      </c>
      <c r="J16" s="5">
        <v>10</v>
      </c>
      <c r="K16" s="6">
        <v>654980.4</v>
      </c>
    </row>
    <row r="17" spans="1:11" x14ac:dyDescent="0.25">
      <c r="A17" s="5" t="s">
        <v>193</v>
      </c>
      <c r="B17" s="6">
        <v>2629364.5499999998</v>
      </c>
      <c r="D17" s="5" t="s">
        <v>206</v>
      </c>
      <c r="G17" s="5" t="s">
        <v>173</v>
      </c>
      <c r="H17" s="6">
        <v>51</v>
      </c>
      <c r="J17" s="5">
        <v>15</v>
      </c>
      <c r="K17" s="6">
        <v>641401.49999999988</v>
      </c>
    </row>
    <row r="18" spans="1:11" x14ac:dyDescent="0.25">
      <c r="D18" s="5" t="s">
        <v>207</v>
      </c>
      <c r="G18" s="5" t="s">
        <v>175</v>
      </c>
      <c r="H18" s="6">
        <v>1</v>
      </c>
      <c r="J18" s="5" t="s">
        <v>193</v>
      </c>
      <c r="K18" s="6">
        <v>2629364.5499999998</v>
      </c>
    </row>
    <row r="19" spans="1:11" x14ac:dyDescent="0.25">
      <c r="D19" s="5" t="s">
        <v>193</v>
      </c>
      <c r="G19" s="5" t="s">
        <v>193</v>
      </c>
      <c r="H19" s="6">
        <v>219</v>
      </c>
    </row>
    <row r="21" spans="1:11" x14ac:dyDescent="0.25">
      <c r="A21" t="s">
        <v>194</v>
      </c>
      <c r="C21" s="9" t="s">
        <v>198</v>
      </c>
      <c r="E21" t="s">
        <v>195</v>
      </c>
      <c r="G21" t="s">
        <v>199</v>
      </c>
    </row>
    <row r="22" spans="1:11" x14ac:dyDescent="0.25">
      <c r="A22" s="6">
        <v>2629364.5499999998</v>
      </c>
      <c r="B22" s="10">
        <f>GETPIVOTDATA("Sales",$A$21)</f>
        <v>2629364.5499999998</v>
      </c>
      <c r="C22" s="11">
        <v>80</v>
      </c>
      <c r="D22">
        <f>GETPIVOTDATA("Order_ID",$C$21)</f>
        <v>80</v>
      </c>
      <c r="E22" s="6">
        <v>780003.52000000025</v>
      </c>
      <c r="F22" s="10">
        <f>GETPIVOTDATA("Profit",$E$21)</f>
        <v>780003.52000000025</v>
      </c>
      <c r="G22" s="6">
        <v>80</v>
      </c>
      <c r="H22">
        <f>GETPIVOTDATA("Customer",$G$21)</f>
        <v>80</v>
      </c>
    </row>
  </sheetData>
  <pageMargins left="0.7" right="0.7" top="0.75" bottom="0.75" header="0.3" footer="0.3"/>
  <pageSetup paperSize="9"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7FE92-8232-445D-8B53-91F71A00C5C2}">
  <dimension ref="A1"/>
  <sheetViews>
    <sheetView tabSelected="1" zoomScale="46" zoomScaleNormal="46"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3"/>
  <sheetViews>
    <sheetView workbookViewId="0"/>
  </sheetViews>
  <sheetFormatPr defaultRowHeight="15" x14ac:dyDescent="0.25"/>
  <cols>
    <col min="1" max="1" width="15.85546875" customWidth="1"/>
    <col min="2" max="2" width="19.85546875" style="7" customWidth="1"/>
    <col min="3" max="3" width="13" customWidth="1"/>
    <col min="4" max="4" width="12.42578125" customWidth="1"/>
    <col min="5" max="5" width="14.5703125" customWidth="1"/>
    <col min="6" max="6" width="12.140625" customWidth="1"/>
    <col min="7" max="7" width="11.28515625" customWidth="1"/>
    <col min="8" max="8" width="14" customWidth="1"/>
    <col min="9" max="9" width="17.7109375" customWidth="1"/>
    <col min="10" max="10" width="16.5703125" customWidth="1"/>
    <col min="11" max="11" width="14.5703125" customWidth="1"/>
    <col min="12" max="13" width="12.28515625" customWidth="1"/>
    <col min="15" max="15" width="13.28515625" customWidth="1"/>
    <col min="16" max="16" width="17.140625" customWidth="1"/>
  </cols>
  <sheetData>
    <row r="1" spans="1:16" x14ac:dyDescent="0.25">
      <c r="A1" s="1" t="s">
        <v>0</v>
      </c>
      <c r="B1" s="8" t="s">
        <v>1</v>
      </c>
      <c r="C1" s="1" t="s">
        <v>2</v>
      </c>
      <c r="D1" s="1" t="s">
        <v>201</v>
      </c>
      <c r="E1" s="1" t="s">
        <v>3</v>
      </c>
      <c r="F1" s="1" t="s">
        <v>4</v>
      </c>
      <c r="G1" s="1" t="s">
        <v>5</v>
      </c>
      <c r="H1" s="1" t="s">
        <v>6</v>
      </c>
      <c r="I1" s="1" t="s">
        <v>7</v>
      </c>
      <c r="J1" s="1" t="s">
        <v>8</v>
      </c>
      <c r="K1" s="1" t="s">
        <v>9</v>
      </c>
      <c r="L1" s="1" t="s">
        <v>10</v>
      </c>
      <c r="M1" s="1" t="s">
        <v>11</v>
      </c>
      <c r="N1" s="2" t="s">
        <v>189</v>
      </c>
      <c r="O1" s="2" t="s">
        <v>190</v>
      </c>
      <c r="P1" s="2" t="s">
        <v>191</v>
      </c>
    </row>
    <row r="2" spans="1:16" x14ac:dyDescent="0.25">
      <c r="A2" t="s">
        <v>12</v>
      </c>
      <c r="B2" s="7">
        <v>46023</v>
      </c>
      <c r="C2" t="s">
        <v>92</v>
      </c>
      <c r="D2" t="s">
        <v>170</v>
      </c>
      <c r="E2" t="s">
        <v>176</v>
      </c>
      <c r="F2" t="s">
        <v>178</v>
      </c>
      <c r="G2">
        <v>3</v>
      </c>
      <c r="H2">
        <v>13962</v>
      </c>
      <c r="I2">
        <v>0</v>
      </c>
      <c r="J2" t="s">
        <v>182</v>
      </c>
      <c r="K2">
        <v>41886</v>
      </c>
      <c r="L2">
        <v>28238.14</v>
      </c>
      <c r="M2">
        <v>13647.86</v>
      </c>
      <c r="N2" t="str">
        <f t="shared" ref="N2:N33" si="0">TEXT(B2,"mmmm")</f>
        <v>January</v>
      </c>
      <c r="O2">
        <f t="shared" ref="O2:O33" si="1">MONTH(B2)</f>
        <v>1</v>
      </c>
      <c r="P2" s="3">
        <f>L2/K2</f>
        <v>0.67416654729503889</v>
      </c>
    </row>
    <row r="3" spans="1:16" x14ac:dyDescent="0.25">
      <c r="A3" t="s">
        <v>13</v>
      </c>
      <c r="B3" s="7">
        <v>46025.278481012647</v>
      </c>
      <c r="C3" t="s">
        <v>93</v>
      </c>
      <c r="D3" t="s">
        <v>171</v>
      </c>
      <c r="E3" t="s">
        <v>177</v>
      </c>
      <c r="F3" t="s">
        <v>178</v>
      </c>
      <c r="G3">
        <v>1</v>
      </c>
      <c r="H3">
        <v>3480</v>
      </c>
      <c r="I3">
        <v>5</v>
      </c>
      <c r="J3" t="s">
        <v>183</v>
      </c>
      <c r="K3">
        <v>3306</v>
      </c>
      <c r="L3">
        <v>2339.9699999999998</v>
      </c>
      <c r="M3">
        <v>966.03</v>
      </c>
      <c r="N3" t="str">
        <f t="shared" si="0"/>
        <v>January</v>
      </c>
      <c r="O3">
        <f t="shared" si="1"/>
        <v>1</v>
      </c>
      <c r="P3" s="3">
        <f t="shared" ref="P3:P66" si="2">L3/K3</f>
        <v>0.7077949183303085</v>
      </c>
    </row>
    <row r="4" spans="1:16" x14ac:dyDescent="0.25">
      <c r="A4" t="s">
        <v>14</v>
      </c>
      <c r="B4" s="7">
        <v>46027.556962025323</v>
      </c>
      <c r="C4" t="s">
        <v>94</v>
      </c>
      <c r="D4" t="s">
        <v>172</v>
      </c>
      <c r="E4" t="s">
        <v>177</v>
      </c>
      <c r="F4" t="s">
        <v>178</v>
      </c>
      <c r="G4">
        <v>2</v>
      </c>
      <c r="H4">
        <v>2160</v>
      </c>
      <c r="I4">
        <v>10</v>
      </c>
      <c r="J4" t="s">
        <v>182</v>
      </c>
      <c r="K4">
        <v>3888</v>
      </c>
      <c r="L4">
        <v>2471.5700000000002</v>
      </c>
      <c r="M4">
        <v>1416.43</v>
      </c>
      <c r="N4" t="str">
        <f t="shared" si="0"/>
        <v>January</v>
      </c>
      <c r="O4">
        <f t="shared" si="1"/>
        <v>1</v>
      </c>
      <c r="P4" s="3">
        <f t="shared" si="2"/>
        <v>0.63569187242798353</v>
      </c>
    </row>
    <row r="5" spans="1:16" x14ac:dyDescent="0.25">
      <c r="A5" t="s">
        <v>15</v>
      </c>
      <c r="B5" s="7">
        <v>46029.835443037977</v>
      </c>
      <c r="C5" t="s">
        <v>95</v>
      </c>
      <c r="D5" t="s">
        <v>171</v>
      </c>
      <c r="E5" t="s">
        <v>177</v>
      </c>
      <c r="F5" t="s">
        <v>181</v>
      </c>
      <c r="G5">
        <v>2</v>
      </c>
      <c r="H5">
        <v>3379</v>
      </c>
      <c r="I5">
        <v>5</v>
      </c>
      <c r="J5" t="s">
        <v>182</v>
      </c>
      <c r="K5">
        <v>6420.1</v>
      </c>
      <c r="L5">
        <v>4013.01</v>
      </c>
      <c r="M5">
        <v>2407.09</v>
      </c>
      <c r="N5" t="str">
        <f t="shared" si="0"/>
        <v>January</v>
      </c>
      <c r="O5">
        <f t="shared" si="1"/>
        <v>1</v>
      </c>
      <c r="P5" s="3">
        <f t="shared" si="2"/>
        <v>0.62506970296412834</v>
      </c>
    </row>
    <row r="6" spans="1:16" x14ac:dyDescent="0.25">
      <c r="A6" t="s">
        <v>16</v>
      </c>
      <c r="B6" s="7">
        <v>46032.113924050624</v>
      </c>
      <c r="C6" t="s">
        <v>96</v>
      </c>
      <c r="D6" t="s">
        <v>171</v>
      </c>
      <c r="E6" t="s">
        <v>177</v>
      </c>
      <c r="F6" t="s">
        <v>178</v>
      </c>
      <c r="G6">
        <v>4</v>
      </c>
      <c r="H6">
        <v>3197</v>
      </c>
      <c r="I6">
        <v>10</v>
      </c>
      <c r="J6" t="s">
        <v>183</v>
      </c>
      <c r="K6">
        <v>11509.2</v>
      </c>
      <c r="L6">
        <v>9351.57</v>
      </c>
      <c r="M6">
        <v>2157.63</v>
      </c>
      <c r="N6" t="str">
        <f t="shared" si="0"/>
        <v>January</v>
      </c>
      <c r="O6">
        <f t="shared" si="1"/>
        <v>1</v>
      </c>
      <c r="P6" s="3">
        <f t="shared" si="2"/>
        <v>0.81252997601918453</v>
      </c>
    </row>
    <row r="7" spans="1:16" x14ac:dyDescent="0.25">
      <c r="A7" t="s">
        <v>17</v>
      </c>
      <c r="B7" s="7">
        <v>46034.392405063278</v>
      </c>
      <c r="C7" t="s">
        <v>97</v>
      </c>
      <c r="D7" t="s">
        <v>173</v>
      </c>
      <c r="E7" t="s">
        <v>177</v>
      </c>
      <c r="F7" t="s">
        <v>178</v>
      </c>
      <c r="G7">
        <v>5</v>
      </c>
      <c r="H7">
        <v>1276</v>
      </c>
      <c r="I7">
        <v>5</v>
      </c>
      <c r="J7" t="s">
        <v>184</v>
      </c>
      <c r="K7">
        <v>6061</v>
      </c>
      <c r="L7">
        <v>4771.2</v>
      </c>
      <c r="M7">
        <v>1289.8</v>
      </c>
      <c r="N7" t="str">
        <f t="shared" si="0"/>
        <v>January</v>
      </c>
      <c r="O7">
        <f t="shared" si="1"/>
        <v>1</v>
      </c>
      <c r="P7" s="3">
        <f t="shared" si="2"/>
        <v>0.78719683220590664</v>
      </c>
    </row>
    <row r="8" spans="1:16" x14ac:dyDescent="0.25">
      <c r="A8" t="s">
        <v>18</v>
      </c>
      <c r="B8" s="7">
        <v>46036.670886075954</v>
      </c>
      <c r="C8" t="s">
        <v>98</v>
      </c>
      <c r="D8" t="s">
        <v>172</v>
      </c>
      <c r="E8" t="s">
        <v>177</v>
      </c>
      <c r="F8" t="s">
        <v>178</v>
      </c>
      <c r="G8">
        <v>1</v>
      </c>
      <c r="H8">
        <v>2503</v>
      </c>
      <c r="I8">
        <v>0</v>
      </c>
      <c r="J8" t="s">
        <v>183</v>
      </c>
      <c r="K8">
        <v>2503</v>
      </c>
      <c r="L8">
        <v>1900.26</v>
      </c>
      <c r="M8">
        <v>602.74</v>
      </c>
      <c r="N8" t="str">
        <f t="shared" si="0"/>
        <v>January</v>
      </c>
      <c r="O8">
        <f t="shared" si="1"/>
        <v>1</v>
      </c>
      <c r="P8" s="3">
        <f t="shared" si="2"/>
        <v>0.75919296843787454</v>
      </c>
    </row>
    <row r="9" spans="1:16" x14ac:dyDescent="0.25">
      <c r="A9" t="s">
        <v>19</v>
      </c>
      <c r="B9" s="7">
        <v>46038.9493670886</v>
      </c>
      <c r="C9" t="s">
        <v>99</v>
      </c>
      <c r="D9" t="s">
        <v>172</v>
      </c>
      <c r="E9" t="s">
        <v>177</v>
      </c>
      <c r="F9" t="s">
        <v>179</v>
      </c>
      <c r="G9">
        <v>1</v>
      </c>
      <c r="H9">
        <v>2391</v>
      </c>
      <c r="I9">
        <v>15</v>
      </c>
      <c r="J9" t="s">
        <v>184</v>
      </c>
      <c r="K9">
        <v>2032.35</v>
      </c>
      <c r="L9">
        <v>1426.28</v>
      </c>
      <c r="M9">
        <v>606.07000000000005</v>
      </c>
      <c r="N9" t="str">
        <f t="shared" si="0"/>
        <v>January</v>
      </c>
      <c r="O9">
        <f t="shared" si="1"/>
        <v>1</v>
      </c>
      <c r="P9" s="3">
        <f t="shared" si="2"/>
        <v>0.7017885698821561</v>
      </c>
    </row>
    <row r="10" spans="1:16" x14ac:dyDescent="0.25">
      <c r="A10" t="s">
        <v>20</v>
      </c>
      <c r="B10" s="7">
        <v>46041.227848101262</v>
      </c>
      <c r="C10" t="s">
        <v>100</v>
      </c>
      <c r="D10" t="s">
        <v>172</v>
      </c>
      <c r="E10" t="s">
        <v>177</v>
      </c>
      <c r="F10" t="s">
        <v>178</v>
      </c>
      <c r="G10">
        <v>3</v>
      </c>
      <c r="H10">
        <v>2134</v>
      </c>
      <c r="I10">
        <v>0</v>
      </c>
      <c r="J10" t="s">
        <v>183</v>
      </c>
      <c r="K10">
        <v>6402</v>
      </c>
      <c r="L10">
        <v>4191.13</v>
      </c>
      <c r="M10">
        <v>2210.87</v>
      </c>
      <c r="N10" t="str">
        <f t="shared" si="0"/>
        <v>January</v>
      </c>
      <c r="O10">
        <f t="shared" si="1"/>
        <v>1</v>
      </c>
      <c r="P10" s="3">
        <f t="shared" si="2"/>
        <v>0.65465948141205876</v>
      </c>
    </row>
    <row r="11" spans="1:16" x14ac:dyDescent="0.25">
      <c r="A11" t="s">
        <v>21</v>
      </c>
      <c r="B11" s="7">
        <v>46043.506329113923</v>
      </c>
      <c r="C11" t="s">
        <v>101</v>
      </c>
      <c r="D11" t="s">
        <v>171</v>
      </c>
      <c r="E11" t="s">
        <v>177</v>
      </c>
      <c r="F11" t="s">
        <v>180</v>
      </c>
      <c r="G11">
        <v>2</v>
      </c>
      <c r="H11">
        <v>2994</v>
      </c>
      <c r="I11">
        <v>15</v>
      </c>
      <c r="J11" t="s">
        <v>182</v>
      </c>
      <c r="K11">
        <v>5089.8</v>
      </c>
      <c r="L11">
        <v>3314.92</v>
      </c>
      <c r="M11">
        <v>1774.88</v>
      </c>
      <c r="N11" t="str">
        <f t="shared" si="0"/>
        <v>January</v>
      </c>
      <c r="O11">
        <f t="shared" si="1"/>
        <v>1</v>
      </c>
      <c r="P11" s="3">
        <f t="shared" si="2"/>
        <v>0.65128688750049113</v>
      </c>
    </row>
    <row r="12" spans="1:16" x14ac:dyDescent="0.25">
      <c r="A12" t="s">
        <v>22</v>
      </c>
      <c r="B12" s="7">
        <v>46045.784810126577</v>
      </c>
      <c r="C12" t="s">
        <v>102</v>
      </c>
      <c r="D12" t="s">
        <v>170</v>
      </c>
      <c r="E12" t="s">
        <v>176</v>
      </c>
      <c r="F12" t="s">
        <v>178</v>
      </c>
      <c r="G12">
        <v>5</v>
      </c>
      <c r="H12">
        <v>14200</v>
      </c>
      <c r="I12">
        <v>5</v>
      </c>
      <c r="J12" t="s">
        <v>182</v>
      </c>
      <c r="K12">
        <v>67450</v>
      </c>
      <c r="L12">
        <v>45194.78</v>
      </c>
      <c r="M12">
        <v>22255.22</v>
      </c>
      <c r="N12" t="str">
        <f t="shared" si="0"/>
        <v>January</v>
      </c>
      <c r="O12">
        <f t="shared" si="1"/>
        <v>1</v>
      </c>
      <c r="P12" s="3">
        <f t="shared" si="2"/>
        <v>0.670048628613788</v>
      </c>
    </row>
    <row r="13" spans="1:16" x14ac:dyDescent="0.25">
      <c r="A13" t="s">
        <v>23</v>
      </c>
      <c r="B13" s="7">
        <v>46048.063291139239</v>
      </c>
      <c r="C13" t="s">
        <v>103</v>
      </c>
      <c r="D13" t="s">
        <v>172</v>
      </c>
      <c r="E13" t="s">
        <v>177</v>
      </c>
      <c r="F13" t="s">
        <v>180</v>
      </c>
      <c r="G13">
        <v>4</v>
      </c>
      <c r="H13">
        <v>2639</v>
      </c>
      <c r="I13">
        <v>10</v>
      </c>
      <c r="J13" t="s">
        <v>185</v>
      </c>
      <c r="K13">
        <v>9500.4</v>
      </c>
      <c r="L13">
        <v>6933.82</v>
      </c>
      <c r="M13">
        <v>2566.58</v>
      </c>
      <c r="N13" t="str">
        <f t="shared" si="0"/>
        <v>January</v>
      </c>
      <c r="O13">
        <f t="shared" si="1"/>
        <v>1</v>
      </c>
      <c r="P13" s="3">
        <f t="shared" si="2"/>
        <v>0.72984505915540399</v>
      </c>
    </row>
    <row r="14" spans="1:16" x14ac:dyDescent="0.25">
      <c r="A14" t="s">
        <v>24</v>
      </c>
      <c r="B14" s="7">
        <v>46048.063291139239</v>
      </c>
      <c r="C14" t="s">
        <v>104</v>
      </c>
      <c r="D14" t="s">
        <v>171</v>
      </c>
      <c r="E14" t="s">
        <v>177</v>
      </c>
      <c r="F14" t="s">
        <v>180</v>
      </c>
      <c r="G14">
        <v>2</v>
      </c>
      <c r="H14">
        <v>2832</v>
      </c>
      <c r="I14">
        <v>0</v>
      </c>
      <c r="J14" t="s">
        <v>184</v>
      </c>
      <c r="K14">
        <v>5664</v>
      </c>
      <c r="L14">
        <v>4321.17</v>
      </c>
      <c r="M14">
        <v>1342.83</v>
      </c>
      <c r="N14" t="str">
        <f t="shared" si="0"/>
        <v>January</v>
      </c>
      <c r="O14">
        <f t="shared" si="1"/>
        <v>1</v>
      </c>
      <c r="P14" s="3">
        <f t="shared" si="2"/>
        <v>0.76291843220338984</v>
      </c>
    </row>
    <row r="15" spans="1:16" x14ac:dyDescent="0.25">
      <c r="A15" t="s">
        <v>25</v>
      </c>
      <c r="B15" s="7">
        <v>46052.620253164547</v>
      </c>
      <c r="C15" t="s">
        <v>105</v>
      </c>
      <c r="D15" t="s">
        <v>173</v>
      </c>
      <c r="E15" t="s">
        <v>177</v>
      </c>
      <c r="F15" t="s">
        <v>180</v>
      </c>
      <c r="G15">
        <v>4</v>
      </c>
      <c r="H15">
        <v>1687</v>
      </c>
      <c r="I15">
        <v>15</v>
      </c>
      <c r="J15" t="s">
        <v>185</v>
      </c>
      <c r="K15">
        <v>5735.8</v>
      </c>
      <c r="L15">
        <v>4313.55</v>
      </c>
      <c r="M15">
        <v>1422.25</v>
      </c>
      <c r="N15" t="str">
        <f t="shared" si="0"/>
        <v>January</v>
      </c>
      <c r="O15">
        <f t="shared" si="1"/>
        <v>1</v>
      </c>
      <c r="P15" s="3">
        <f t="shared" si="2"/>
        <v>0.75203982007740855</v>
      </c>
    </row>
    <row r="16" spans="1:16" x14ac:dyDescent="0.25">
      <c r="A16" t="s">
        <v>26</v>
      </c>
      <c r="B16" s="7">
        <v>46054.898734177208</v>
      </c>
      <c r="C16" t="s">
        <v>106</v>
      </c>
      <c r="D16" t="s">
        <v>170</v>
      </c>
      <c r="E16" t="s">
        <v>176</v>
      </c>
      <c r="F16" t="s">
        <v>179</v>
      </c>
      <c r="G16">
        <v>3</v>
      </c>
      <c r="H16">
        <v>14259</v>
      </c>
      <c r="I16">
        <v>0</v>
      </c>
      <c r="J16" t="s">
        <v>185</v>
      </c>
      <c r="K16">
        <v>42777</v>
      </c>
      <c r="L16">
        <v>28916.69</v>
      </c>
      <c r="M16">
        <v>13860.31</v>
      </c>
      <c r="N16" t="str">
        <f t="shared" si="0"/>
        <v>February</v>
      </c>
      <c r="O16">
        <f t="shared" si="1"/>
        <v>2</v>
      </c>
      <c r="P16" s="3">
        <f t="shared" si="2"/>
        <v>0.67598686209879133</v>
      </c>
    </row>
    <row r="17" spans="1:16" x14ac:dyDescent="0.25">
      <c r="A17" t="s">
        <v>27</v>
      </c>
      <c r="B17" s="7">
        <v>46057.177215189869</v>
      </c>
      <c r="C17" t="s">
        <v>187</v>
      </c>
      <c r="D17" t="s">
        <v>173</v>
      </c>
      <c r="E17" t="s">
        <v>177</v>
      </c>
      <c r="F17" t="s">
        <v>179</v>
      </c>
      <c r="G17">
        <v>3</v>
      </c>
      <c r="H17">
        <v>1469</v>
      </c>
      <c r="I17">
        <v>15</v>
      </c>
      <c r="J17" t="s">
        <v>183</v>
      </c>
      <c r="K17">
        <v>3745.95</v>
      </c>
      <c r="L17">
        <v>3037.86</v>
      </c>
      <c r="M17">
        <v>708.09</v>
      </c>
      <c r="N17" t="str">
        <f t="shared" si="0"/>
        <v>February</v>
      </c>
      <c r="O17">
        <f t="shared" si="1"/>
        <v>2</v>
      </c>
      <c r="P17" s="3">
        <f t="shared" si="2"/>
        <v>0.81097184959756541</v>
      </c>
    </row>
    <row r="18" spans="1:16" x14ac:dyDescent="0.25">
      <c r="A18" t="s">
        <v>28</v>
      </c>
      <c r="B18" s="7">
        <v>46059.455696202524</v>
      </c>
      <c r="C18" t="s">
        <v>107</v>
      </c>
      <c r="D18" t="s">
        <v>170</v>
      </c>
      <c r="E18" t="s">
        <v>176</v>
      </c>
      <c r="F18" t="s">
        <v>179</v>
      </c>
      <c r="G18">
        <v>1</v>
      </c>
      <c r="H18">
        <v>14174</v>
      </c>
      <c r="I18">
        <v>0</v>
      </c>
      <c r="J18" t="s">
        <v>185</v>
      </c>
      <c r="K18">
        <v>14174</v>
      </c>
      <c r="L18">
        <v>10879.67</v>
      </c>
      <c r="M18">
        <v>3294.33</v>
      </c>
      <c r="N18" t="str">
        <f t="shared" si="0"/>
        <v>February</v>
      </c>
      <c r="O18">
        <f t="shared" si="1"/>
        <v>2</v>
      </c>
      <c r="P18" s="3">
        <f t="shared" si="2"/>
        <v>0.76757937067870752</v>
      </c>
    </row>
    <row r="19" spans="1:16" x14ac:dyDescent="0.25">
      <c r="A19" t="s">
        <v>29</v>
      </c>
      <c r="B19" s="7">
        <v>46061.734177215178</v>
      </c>
      <c r="C19" t="s">
        <v>108</v>
      </c>
      <c r="D19" t="s">
        <v>171</v>
      </c>
      <c r="E19" t="s">
        <v>177</v>
      </c>
      <c r="F19" t="s">
        <v>178</v>
      </c>
      <c r="G19">
        <v>5</v>
      </c>
      <c r="H19">
        <v>2821</v>
      </c>
      <c r="I19">
        <v>15</v>
      </c>
      <c r="J19" t="s">
        <v>183</v>
      </c>
      <c r="K19">
        <v>11989.25</v>
      </c>
      <c r="L19">
        <v>8762.59</v>
      </c>
      <c r="M19">
        <v>3226.66</v>
      </c>
      <c r="N19" t="str">
        <f t="shared" si="0"/>
        <v>February</v>
      </c>
      <c r="O19">
        <f t="shared" si="1"/>
        <v>2</v>
      </c>
      <c r="P19" s="3">
        <f t="shared" si="2"/>
        <v>0.73087057155368351</v>
      </c>
    </row>
    <row r="20" spans="1:16" x14ac:dyDescent="0.25">
      <c r="A20" t="s">
        <v>30</v>
      </c>
      <c r="B20" s="7">
        <v>46064.012658227854</v>
      </c>
      <c r="C20" t="s">
        <v>109</v>
      </c>
      <c r="D20" t="s">
        <v>174</v>
      </c>
      <c r="E20" t="s">
        <v>176</v>
      </c>
      <c r="F20" t="s">
        <v>180</v>
      </c>
      <c r="G20">
        <v>4</v>
      </c>
      <c r="H20">
        <v>55469</v>
      </c>
      <c r="I20">
        <v>15</v>
      </c>
      <c r="J20" t="s">
        <v>183</v>
      </c>
      <c r="K20">
        <v>188594.6</v>
      </c>
      <c r="L20">
        <v>140002.1</v>
      </c>
      <c r="M20">
        <v>48592.5</v>
      </c>
      <c r="N20" t="str">
        <f t="shared" si="0"/>
        <v>February</v>
      </c>
      <c r="O20">
        <f t="shared" si="1"/>
        <v>2</v>
      </c>
      <c r="P20" s="3">
        <f t="shared" si="2"/>
        <v>0.74234416043725537</v>
      </c>
    </row>
    <row r="21" spans="1:16" x14ac:dyDescent="0.25">
      <c r="A21" t="s">
        <v>31</v>
      </c>
      <c r="B21" s="7">
        <v>46066.2911392405</v>
      </c>
      <c r="C21" t="s">
        <v>110</v>
      </c>
      <c r="D21" t="s">
        <v>170</v>
      </c>
      <c r="E21" t="s">
        <v>176</v>
      </c>
      <c r="F21" t="s">
        <v>179</v>
      </c>
      <c r="G21">
        <v>2</v>
      </c>
      <c r="H21">
        <v>13837</v>
      </c>
      <c r="I21">
        <v>5</v>
      </c>
      <c r="J21" t="s">
        <v>185</v>
      </c>
      <c r="K21">
        <v>26290.3</v>
      </c>
      <c r="L21">
        <v>18506.27</v>
      </c>
      <c r="M21">
        <v>7784.03</v>
      </c>
      <c r="N21" t="str">
        <f t="shared" si="0"/>
        <v>February</v>
      </c>
      <c r="O21">
        <f t="shared" si="1"/>
        <v>2</v>
      </c>
      <c r="P21" s="3">
        <f t="shared" si="2"/>
        <v>0.70392007698656922</v>
      </c>
    </row>
    <row r="22" spans="1:16" x14ac:dyDescent="0.25">
      <c r="A22" t="s">
        <v>32</v>
      </c>
      <c r="B22" s="7">
        <v>46068.569620253162</v>
      </c>
      <c r="C22" t="s">
        <v>111</v>
      </c>
      <c r="D22" t="s">
        <v>173</v>
      </c>
      <c r="E22" t="s">
        <v>177</v>
      </c>
      <c r="F22" t="s">
        <v>179</v>
      </c>
      <c r="G22">
        <v>3</v>
      </c>
      <c r="H22">
        <v>1229</v>
      </c>
      <c r="I22">
        <v>15</v>
      </c>
      <c r="J22" t="s">
        <v>184</v>
      </c>
      <c r="K22">
        <v>3133.95</v>
      </c>
      <c r="L22">
        <v>2098.3200000000002</v>
      </c>
      <c r="M22">
        <v>1035.6300000000001</v>
      </c>
      <c r="N22" t="str">
        <f t="shared" si="0"/>
        <v>February</v>
      </c>
      <c r="O22">
        <f t="shared" si="1"/>
        <v>2</v>
      </c>
      <c r="P22" s="3">
        <f t="shared" si="2"/>
        <v>0.66954482362513768</v>
      </c>
    </row>
    <row r="23" spans="1:16" x14ac:dyDescent="0.25">
      <c r="A23" t="s">
        <v>33</v>
      </c>
      <c r="B23" s="7">
        <v>46070.848101265823</v>
      </c>
      <c r="C23" t="s">
        <v>112</v>
      </c>
      <c r="D23" t="s">
        <v>171</v>
      </c>
      <c r="E23" t="s">
        <v>177</v>
      </c>
      <c r="F23" t="s">
        <v>178</v>
      </c>
      <c r="G23">
        <v>1</v>
      </c>
      <c r="H23">
        <v>3164</v>
      </c>
      <c r="I23">
        <v>5</v>
      </c>
      <c r="J23" t="s">
        <v>184</v>
      </c>
      <c r="K23">
        <v>3005.8</v>
      </c>
      <c r="L23">
        <v>2077.59</v>
      </c>
      <c r="M23">
        <v>928.21</v>
      </c>
      <c r="N23" t="str">
        <f t="shared" si="0"/>
        <v>February</v>
      </c>
      <c r="O23">
        <f t="shared" si="1"/>
        <v>2</v>
      </c>
      <c r="P23" s="3">
        <f t="shared" si="2"/>
        <v>0.69119369219508953</v>
      </c>
    </row>
    <row r="24" spans="1:16" x14ac:dyDescent="0.25">
      <c r="A24" t="s">
        <v>34</v>
      </c>
      <c r="B24" s="7">
        <v>46073.12658227847</v>
      </c>
      <c r="C24" t="s">
        <v>113</v>
      </c>
      <c r="D24" t="s">
        <v>173</v>
      </c>
      <c r="E24" t="s">
        <v>176</v>
      </c>
      <c r="F24" t="s">
        <v>179</v>
      </c>
      <c r="G24">
        <v>1</v>
      </c>
      <c r="H24">
        <v>14362</v>
      </c>
      <c r="I24">
        <v>15</v>
      </c>
      <c r="J24" t="s">
        <v>184</v>
      </c>
      <c r="K24">
        <v>12207.7</v>
      </c>
      <c r="L24">
        <v>9419.09</v>
      </c>
      <c r="M24">
        <v>2788.61</v>
      </c>
      <c r="N24" t="str">
        <f t="shared" si="0"/>
        <v>February</v>
      </c>
      <c r="O24">
        <f t="shared" si="1"/>
        <v>2</v>
      </c>
      <c r="P24" s="3">
        <f t="shared" si="2"/>
        <v>0.77156958313195767</v>
      </c>
    </row>
    <row r="25" spans="1:16" x14ac:dyDescent="0.25">
      <c r="A25" t="s">
        <v>35</v>
      </c>
      <c r="B25" s="7">
        <v>46075.405063291131</v>
      </c>
      <c r="C25" t="s">
        <v>114</v>
      </c>
      <c r="D25" t="s">
        <v>174</v>
      </c>
      <c r="E25" t="s">
        <v>176</v>
      </c>
      <c r="F25" t="s">
        <v>178</v>
      </c>
      <c r="G25">
        <v>4</v>
      </c>
      <c r="H25">
        <v>55237</v>
      </c>
      <c r="I25">
        <v>10</v>
      </c>
      <c r="J25" t="s">
        <v>184</v>
      </c>
      <c r="K25">
        <v>198853.2</v>
      </c>
      <c r="L25">
        <v>123861.42</v>
      </c>
      <c r="M25">
        <v>74991.78</v>
      </c>
      <c r="N25" t="str">
        <f t="shared" si="0"/>
        <v>February</v>
      </c>
      <c r="O25">
        <f t="shared" si="1"/>
        <v>2</v>
      </c>
      <c r="P25" s="3">
        <f t="shared" si="2"/>
        <v>0.62287868638774735</v>
      </c>
    </row>
    <row r="26" spans="1:16" x14ac:dyDescent="0.25">
      <c r="A26" t="s">
        <v>36</v>
      </c>
      <c r="B26" s="7">
        <v>46077.6835443038</v>
      </c>
      <c r="C26" t="s">
        <v>115</v>
      </c>
      <c r="D26" t="s">
        <v>174</v>
      </c>
      <c r="E26" t="s">
        <v>176</v>
      </c>
      <c r="F26" t="s">
        <v>181</v>
      </c>
      <c r="G26">
        <v>3</v>
      </c>
      <c r="H26">
        <v>55082</v>
      </c>
      <c r="I26">
        <v>10</v>
      </c>
      <c r="J26" t="s">
        <v>184</v>
      </c>
      <c r="K26">
        <v>148721.4</v>
      </c>
      <c r="L26">
        <v>95659.77</v>
      </c>
      <c r="M26">
        <v>53061.63</v>
      </c>
      <c r="N26" t="str">
        <f t="shared" si="0"/>
        <v>February</v>
      </c>
      <c r="O26">
        <f t="shared" si="1"/>
        <v>2</v>
      </c>
      <c r="P26" s="3">
        <f t="shared" si="2"/>
        <v>0.64321456091725882</v>
      </c>
    </row>
    <row r="27" spans="1:16" x14ac:dyDescent="0.25">
      <c r="A27" t="s">
        <v>37</v>
      </c>
      <c r="B27" s="7">
        <v>46079.962025316447</v>
      </c>
      <c r="C27" t="s">
        <v>116</v>
      </c>
      <c r="D27" t="s">
        <v>172</v>
      </c>
      <c r="E27" t="s">
        <v>177</v>
      </c>
      <c r="F27" t="s">
        <v>179</v>
      </c>
      <c r="G27">
        <v>5</v>
      </c>
      <c r="H27">
        <v>2026</v>
      </c>
      <c r="I27">
        <v>10</v>
      </c>
      <c r="J27" t="s">
        <v>185</v>
      </c>
      <c r="K27">
        <v>9117</v>
      </c>
      <c r="L27">
        <v>5736.42</v>
      </c>
      <c r="M27">
        <v>3380.58</v>
      </c>
      <c r="N27" t="str">
        <f t="shared" si="0"/>
        <v>February</v>
      </c>
      <c r="O27">
        <f t="shared" si="1"/>
        <v>2</v>
      </c>
      <c r="P27" s="3">
        <f t="shared" si="2"/>
        <v>0.62920039486673252</v>
      </c>
    </row>
    <row r="28" spans="1:16" x14ac:dyDescent="0.25">
      <c r="A28" t="s">
        <v>38</v>
      </c>
      <c r="B28" s="7">
        <v>46082.240506329108</v>
      </c>
      <c r="C28" t="s">
        <v>117</v>
      </c>
      <c r="D28" t="s">
        <v>172</v>
      </c>
      <c r="E28" t="s">
        <v>177</v>
      </c>
      <c r="F28" t="s">
        <v>181</v>
      </c>
      <c r="G28">
        <v>3</v>
      </c>
      <c r="H28">
        <v>2225</v>
      </c>
      <c r="I28">
        <v>15</v>
      </c>
      <c r="J28" t="s">
        <v>185</v>
      </c>
      <c r="K28">
        <v>5673.75</v>
      </c>
      <c r="L28">
        <v>3563.94</v>
      </c>
      <c r="M28">
        <v>2109.81</v>
      </c>
      <c r="N28" t="str">
        <f t="shared" si="0"/>
        <v>March</v>
      </c>
      <c r="O28">
        <f t="shared" si="1"/>
        <v>3</v>
      </c>
      <c r="P28" s="3">
        <f t="shared" si="2"/>
        <v>0.62814540647719763</v>
      </c>
    </row>
    <row r="29" spans="1:16" x14ac:dyDescent="0.25">
      <c r="A29" t="s">
        <v>39</v>
      </c>
      <c r="B29" s="7">
        <v>46084.518987341769</v>
      </c>
      <c r="C29" t="s">
        <v>118</v>
      </c>
      <c r="D29" t="s">
        <v>173</v>
      </c>
      <c r="E29" t="s">
        <v>177</v>
      </c>
      <c r="F29" t="s">
        <v>178</v>
      </c>
      <c r="G29">
        <v>4</v>
      </c>
      <c r="H29">
        <v>1276</v>
      </c>
      <c r="I29">
        <v>5</v>
      </c>
      <c r="J29" t="s">
        <v>182</v>
      </c>
      <c r="K29">
        <v>4848.8</v>
      </c>
      <c r="L29">
        <v>3835.85</v>
      </c>
      <c r="M29">
        <v>1012.95</v>
      </c>
      <c r="N29" t="str">
        <f t="shared" si="0"/>
        <v>March</v>
      </c>
      <c r="O29">
        <f t="shared" si="1"/>
        <v>3</v>
      </c>
      <c r="P29" s="3">
        <f t="shared" si="2"/>
        <v>0.79109264147830383</v>
      </c>
    </row>
    <row r="30" spans="1:16" x14ac:dyDescent="0.25">
      <c r="A30" t="s">
        <v>40</v>
      </c>
      <c r="B30" s="7">
        <v>46086.797468354423</v>
      </c>
      <c r="C30" t="s">
        <v>119</v>
      </c>
      <c r="D30" t="s">
        <v>170</v>
      </c>
      <c r="E30" t="s">
        <v>176</v>
      </c>
      <c r="F30" t="s">
        <v>180</v>
      </c>
      <c r="G30">
        <v>4</v>
      </c>
      <c r="H30">
        <v>14408</v>
      </c>
      <c r="I30">
        <v>5</v>
      </c>
      <c r="J30" t="s">
        <v>184</v>
      </c>
      <c r="K30">
        <v>54750.400000000001</v>
      </c>
      <c r="L30">
        <v>41650.36</v>
      </c>
      <c r="M30">
        <v>13100.04</v>
      </c>
      <c r="N30" t="str">
        <f t="shared" si="0"/>
        <v>March</v>
      </c>
      <c r="O30">
        <f t="shared" si="1"/>
        <v>3</v>
      </c>
      <c r="P30" s="3">
        <f t="shared" si="2"/>
        <v>0.76073161109325227</v>
      </c>
    </row>
    <row r="31" spans="1:16" x14ac:dyDescent="0.25">
      <c r="A31" t="s">
        <v>41</v>
      </c>
      <c r="B31" s="7">
        <v>46089.075949367078</v>
      </c>
      <c r="C31" t="s">
        <v>120</v>
      </c>
      <c r="D31" t="s">
        <v>170</v>
      </c>
      <c r="E31" t="s">
        <v>176</v>
      </c>
      <c r="F31" t="s">
        <v>179</v>
      </c>
      <c r="G31">
        <v>3</v>
      </c>
      <c r="H31">
        <v>14083</v>
      </c>
      <c r="I31">
        <v>15</v>
      </c>
      <c r="J31" t="s">
        <v>185</v>
      </c>
      <c r="K31">
        <v>35911.65</v>
      </c>
      <c r="L31">
        <v>25670.9</v>
      </c>
      <c r="M31">
        <v>10240.75</v>
      </c>
      <c r="N31" t="str">
        <f t="shared" si="0"/>
        <v>March</v>
      </c>
      <c r="O31">
        <f t="shared" si="1"/>
        <v>3</v>
      </c>
      <c r="P31" s="3">
        <f t="shared" si="2"/>
        <v>0.71483487948896807</v>
      </c>
    </row>
    <row r="32" spans="1:16" x14ac:dyDescent="0.25">
      <c r="A32" t="s">
        <v>42</v>
      </c>
      <c r="B32" s="7">
        <v>46091.354430379753</v>
      </c>
      <c r="C32" t="s">
        <v>121</v>
      </c>
      <c r="D32" t="s">
        <v>172</v>
      </c>
      <c r="E32" t="s">
        <v>177</v>
      </c>
      <c r="F32" t="s">
        <v>178</v>
      </c>
      <c r="G32">
        <v>4</v>
      </c>
      <c r="H32">
        <v>2480</v>
      </c>
      <c r="I32">
        <v>10</v>
      </c>
      <c r="J32" t="s">
        <v>182</v>
      </c>
      <c r="K32">
        <v>8928</v>
      </c>
      <c r="L32">
        <v>5710.05</v>
      </c>
      <c r="M32">
        <v>3217.95</v>
      </c>
      <c r="N32" t="str">
        <f t="shared" si="0"/>
        <v>March</v>
      </c>
      <c r="O32">
        <f t="shared" si="1"/>
        <v>3</v>
      </c>
      <c r="P32" s="3">
        <f t="shared" si="2"/>
        <v>0.63956653225806459</v>
      </c>
    </row>
    <row r="33" spans="1:16" x14ac:dyDescent="0.25">
      <c r="A33" t="s">
        <v>43</v>
      </c>
      <c r="B33" s="7">
        <v>46093.632911392393</v>
      </c>
      <c r="C33" t="s">
        <v>122</v>
      </c>
      <c r="D33" t="s">
        <v>170</v>
      </c>
      <c r="E33" t="s">
        <v>176</v>
      </c>
      <c r="F33" t="s">
        <v>180</v>
      </c>
      <c r="G33">
        <v>3</v>
      </c>
      <c r="H33">
        <v>14252</v>
      </c>
      <c r="I33">
        <f>(1-(K33/(G33*H33)))*100</f>
        <v>9.9999999999999982</v>
      </c>
      <c r="J33" t="s">
        <v>184</v>
      </c>
      <c r="K33">
        <v>38480.400000000001</v>
      </c>
      <c r="L33">
        <v>27641.360000000001</v>
      </c>
      <c r="M33">
        <v>10839.04</v>
      </c>
      <c r="N33" t="str">
        <f t="shared" si="0"/>
        <v>March</v>
      </c>
      <c r="O33">
        <f t="shared" si="1"/>
        <v>3</v>
      </c>
      <c r="P33" s="3">
        <f t="shared" si="2"/>
        <v>0.71832309435452857</v>
      </c>
    </row>
    <row r="34" spans="1:16" x14ac:dyDescent="0.25">
      <c r="A34" t="s">
        <v>44</v>
      </c>
      <c r="B34" s="7">
        <v>46095.911392405047</v>
      </c>
      <c r="C34" t="s">
        <v>123</v>
      </c>
      <c r="D34" t="s">
        <v>170</v>
      </c>
      <c r="E34" t="s">
        <v>176</v>
      </c>
      <c r="F34" t="s">
        <v>180</v>
      </c>
      <c r="G34">
        <v>2</v>
      </c>
      <c r="H34">
        <v>14458</v>
      </c>
      <c r="I34">
        <v>5</v>
      </c>
      <c r="J34" t="s">
        <v>183</v>
      </c>
      <c r="K34">
        <v>27470.2</v>
      </c>
      <c r="L34">
        <v>19632.8</v>
      </c>
      <c r="M34">
        <v>7837.4</v>
      </c>
      <c r="N34" t="str">
        <f t="shared" ref="N34:N65" si="3">TEXT(B34,"mmmm")</f>
        <v>March</v>
      </c>
      <c r="O34">
        <f t="shared" ref="O34:O65" si="4">MONTH(B34)</f>
        <v>3</v>
      </c>
      <c r="P34" s="3">
        <f t="shared" si="2"/>
        <v>0.71469446891540644</v>
      </c>
    </row>
    <row r="35" spans="1:16" x14ac:dyDescent="0.25">
      <c r="A35" t="s">
        <v>45</v>
      </c>
      <c r="B35" s="7">
        <v>46098.189873417723</v>
      </c>
      <c r="C35" t="s">
        <v>124</v>
      </c>
      <c r="D35" t="s">
        <v>174</v>
      </c>
      <c r="E35" t="s">
        <v>176</v>
      </c>
      <c r="F35" t="s">
        <v>181</v>
      </c>
      <c r="G35">
        <v>3</v>
      </c>
      <c r="H35">
        <v>55315</v>
      </c>
      <c r="I35">
        <v>10</v>
      </c>
      <c r="J35" t="s">
        <v>182</v>
      </c>
      <c r="K35">
        <v>149350.5</v>
      </c>
      <c r="L35">
        <v>97770.87</v>
      </c>
      <c r="M35">
        <v>51579.63</v>
      </c>
      <c r="N35" t="str">
        <f t="shared" si="3"/>
        <v>March</v>
      </c>
      <c r="O35">
        <f t="shared" si="4"/>
        <v>3</v>
      </c>
      <c r="P35" s="3">
        <f t="shared" si="2"/>
        <v>0.65464039290126241</v>
      </c>
    </row>
    <row r="36" spans="1:16" x14ac:dyDescent="0.25">
      <c r="A36" t="s">
        <v>46</v>
      </c>
      <c r="B36" s="7">
        <v>46100.46835443037</v>
      </c>
      <c r="C36" t="s">
        <v>125</v>
      </c>
      <c r="D36" t="s">
        <v>172</v>
      </c>
      <c r="E36" t="s">
        <v>177</v>
      </c>
      <c r="F36" t="s">
        <v>178</v>
      </c>
      <c r="G36">
        <v>3</v>
      </c>
      <c r="H36">
        <v>2546</v>
      </c>
      <c r="I36">
        <v>0</v>
      </c>
      <c r="J36" t="s">
        <v>185</v>
      </c>
      <c r="K36">
        <v>7638</v>
      </c>
      <c r="L36">
        <v>5398.31</v>
      </c>
      <c r="M36">
        <v>2239.69</v>
      </c>
      <c r="N36" t="str">
        <f t="shared" si="3"/>
        <v>March</v>
      </c>
      <c r="O36">
        <f t="shared" si="4"/>
        <v>3</v>
      </c>
      <c r="P36" s="3">
        <f t="shared" si="2"/>
        <v>0.70677009688400105</v>
      </c>
    </row>
    <row r="37" spans="1:16" x14ac:dyDescent="0.25">
      <c r="A37" t="s">
        <v>47</v>
      </c>
      <c r="B37" s="7">
        <v>46102.746835443031</v>
      </c>
      <c r="C37" t="s">
        <v>126</v>
      </c>
      <c r="D37" t="s">
        <v>171</v>
      </c>
      <c r="E37" t="s">
        <v>177</v>
      </c>
      <c r="F37" t="s">
        <v>180</v>
      </c>
      <c r="G37">
        <v>4</v>
      </c>
      <c r="H37">
        <v>2991</v>
      </c>
      <c r="I37">
        <v>5</v>
      </c>
      <c r="J37" t="s">
        <v>183</v>
      </c>
      <c r="K37">
        <v>11365.8</v>
      </c>
      <c r="L37">
        <v>7952.66</v>
      </c>
      <c r="M37">
        <v>3413.14</v>
      </c>
      <c r="N37" t="str">
        <f t="shared" si="3"/>
        <v>March</v>
      </c>
      <c r="O37">
        <f t="shared" si="4"/>
        <v>3</v>
      </c>
      <c r="P37" s="3">
        <f t="shared" si="2"/>
        <v>0.69970085695683548</v>
      </c>
    </row>
    <row r="38" spans="1:16" x14ac:dyDescent="0.25">
      <c r="A38" t="s">
        <v>48</v>
      </c>
      <c r="B38" s="7">
        <v>46105.025316455693</v>
      </c>
      <c r="C38" t="s">
        <v>127</v>
      </c>
      <c r="D38" t="s">
        <v>172</v>
      </c>
      <c r="E38" t="s">
        <v>177</v>
      </c>
      <c r="F38" t="s">
        <v>179</v>
      </c>
      <c r="G38">
        <v>4</v>
      </c>
      <c r="H38">
        <v>2048</v>
      </c>
      <c r="I38">
        <v>10</v>
      </c>
      <c r="J38" t="s">
        <v>183</v>
      </c>
      <c r="K38">
        <v>7372.8</v>
      </c>
      <c r="L38">
        <v>5479.24</v>
      </c>
      <c r="M38">
        <v>1893.56</v>
      </c>
      <c r="N38" t="str">
        <f t="shared" si="3"/>
        <v>March</v>
      </c>
      <c r="O38">
        <f t="shared" si="4"/>
        <v>3</v>
      </c>
      <c r="P38" s="3">
        <f t="shared" si="2"/>
        <v>0.74316948784722214</v>
      </c>
    </row>
    <row r="39" spans="1:16" x14ac:dyDescent="0.25">
      <c r="A39" t="s">
        <v>49</v>
      </c>
      <c r="B39" s="7">
        <v>46107.303797468347</v>
      </c>
      <c r="C39" t="s">
        <v>128</v>
      </c>
      <c r="D39" t="s">
        <v>171</v>
      </c>
      <c r="E39" t="s">
        <v>177</v>
      </c>
      <c r="F39" t="s">
        <v>179</v>
      </c>
      <c r="G39">
        <v>1</v>
      </c>
      <c r="H39">
        <v>3311</v>
      </c>
      <c r="I39">
        <v>5</v>
      </c>
      <c r="J39" t="s">
        <v>183</v>
      </c>
      <c r="K39">
        <v>3145.45</v>
      </c>
      <c r="L39">
        <v>2349.71</v>
      </c>
      <c r="M39">
        <v>795.74</v>
      </c>
      <c r="N39" t="str">
        <f t="shared" si="3"/>
        <v>March</v>
      </c>
      <c r="O39">
        <f t="shared" si="4"/>
        <v>3</v>
      </c>
      <c r="P39" s="3">
        <f t="shared" si="2"/>
        <v>0.74701870956460925</v>
      </c>
    </row>
    <row r="40" spans="1:16" x14ac:dyDescent="0.25">
      <c r="A40" t="s">
        <v>50</v>
      </c>
      <c r="B40" s="7">
        <v>46109.582278481008</v>
      </c>
      <c r="C40" t="s">
        <v>129</v>
      </c>
      <c r="D40" t="s">
        <v>174</v>
      </c>
      <c r="E40" t="s">
        <v>176</v>
      </c>
      <c r="F40" t="s">
        <v>181</v>
      </c>
      <c r="G40">
        <v>1</v>
      </c>
      <c r="H40">
        <v>54816</v>
      </c>
      <c r="I40">
        <v>0</v>
      </c>
      <c r="J40" t="s">
        <v>182</v>
      </c>
      <c r="K40">
        <v>54816</v>
      </c>
      <c r="L40">
        <v>34482.6</v>
      </c>
      <c r="M40">
        <v>20333.400000000001</v>
      </c>
      <c r="N40" t="str">
        <f t="shared" si="3"/>
        <v>March</v>
      </c>
      <c r="O40">
        <f t="shared" si="4"/>
        <v>3</v>
      </c>
      <c r="P40" s="3">
        <f t="shared" si="2"/>
        <v>0.62906085814360768</v>
      </c>
    </row>
    <row r="41" spans="1:16" x14ac:dyDescent="0.25">
      <c r="A41" t="s">
        <v>51</v>
      </c>
      <c r="B41" s="7">
        <v>46111.860759493669</v>
      </c>
      <c r="C41" t="s">
        <v>130</v>
      </c>
      <c r="D41" t="s">
        <v>173</v>
      </c>
      <c r="E41" t="s">
        <v>177</v>
      </c>
      <c r="F41" t="s">
        <v>180</v>
      </c>
      <c r="G41">
        <v>2</v>
      </c>
      <c r="H41">
        <v>1171</v>
      </c>
      <c r="I41">
        <v>5</v>
      </c>
      <c r="J41" t="s">
        <v>185</v>
      </c>
      <c r="K41">
        <v>2224.9</v>
      </c>
      <c r="L41">
        <v>1546.13</v>
      </c>
      <c r="M41">
        <v>678.77</v>
      </c>
      <c r="N41" t="str">
        <f t="shared" si="3"/>
        <v>March</v>
      </c>
      <c r="O41">
        <f t="shared" si="4"/>
        <v>3</v>
      </c>
      <c r="P41" s="3">
        <f t="shared" si="2"/>
        <v>0.69492112005033935</v>
      </c>
    </row>
    <row r="42" spans="1:16" x14ac:dyDescent="0.25">
      <c r="A42" t="s">
        <v>52</v>
      </c>
      <c r="B42" s="7">
        <v>46114.139240506323</v>
      </c>
      <c r="C42" t="s">
        <v>131</v>
      </c>
      <c r="D42" t="s">
        <v>170</v>
      </c>
      <c r="E42" t="s">
        <v>176</v>
      </c>
      <c r="F42" t="s">
        <v>178</v>
      </c>
      <c r="G42">
        <v>1</v>
      </c>
      <c r="H42">
        <v>14019</v>
      </c>
      <c r="I42">
        <v>5</v>
      </c>
      <c r="J42" t="s">
        <v>183</v>
      </c>
      <c r="K42">
        <v>13318.05</v>
      </c>
      <c r="L42">
        <v>9924.24</v>
      </c>
      <c r="M42">
        <v>3393.81</v>
      </c>
      <c r="N42" t="str">
        <f t="shared" si="3"/>
        <v>April</v>
      </c>
      <c r="O42">
        <f t="shared" si="4"/>
        <v>4</v>
      </c>
      <c r="P42" s="3">
        <f t="shared" si="2"/>
        <v>0.74517215358104227</v>
      </c>
    </row>
    <row r="43" spans="1:16" x14ac:dyDescent="0.25">
      <c r="A43" t="s">
        <v>53</v>
      </c>
      <c r="B43" s="7">
        <v>46116.417721518977</v>
      </c>
      <c r="C43" t="s">
        <v>132</v>
      </c>
      <c r="D43" t="s">
        <v>174</v>
      </c>
      <c r="E43" t="s">
        <v>176</v>
      </c>
      <c r="F43" t="s">
        <v>179</v>
      </c>
      <c r="G43">
        <v>3</v>
      </c>
      <c r="H43">
        <v>54957</v>
      </c>
      <c r="I43">
        <v>5</v>
      </c>
      <c r="J43" t="s">
        <v>184</v>
      </c>
      <c r="K43">
        <v>156627.45000000001</v>
      </c>
      <c r="L43">
        <v>112870.01</v>
      </c>
      <c r="M43">
        <v>43757.440000000002</v>
      </c>
      <c r="N43" t="str">
        <f t="shared" si="3"/>
        <v>April</v>
      </c>
      <c r="O43">
        <f t="shared" si="4"/>
        <v>4</v>
      </c>
      <c r="P43" s="3">
        <f t="shared" si="2"/>
        <v>0.72062725914263426</v>
      </c>
    </row>
    <row r="44" spans="1:16" x14ac:dyDescent="0.25">
      <c r="A44" t="s">
        <v>54</v>
      </c>
      <c r="B44" s="7">
        <v>46118.696202531653</v>
      </c>
      <c r="C44" t="s">
        <v>133</v>
      </c>
      <c r="D44" t="s">
        <v>170</v>
      </c>
      <c r="E44" t="s">
        <v>176</v>
      </c>
      <c r="F44" t="s">
        <v>180</v>
      </c>
      <c r="G44">
        <v>4</v>
      </c>
      <c r="H44">
        <v>14276</v>
      </c>
      <c r="I44">
        <v>5</v>
      </c>
      <c r="J44" t="s">
        <v>183</v>
      </c>
      <c r="K44">
        <v>54248.800000000003</v>
      </c>
      <c r="L44">
        <v>42926.97</v>
      </c>
      <c r="M44">
        <v>11321.83</v>
      </c>
      <c r="N44" t="str">
        <f t="shared" si="3"/>
        <v>April</v>
      </c>
      <c r="O44">
        <f t="shared" si="4"/>
        <v>4</v>
      </c>
      <c r="P44" s="3">
        <f t="shared" si="2"/>
        <v>0.79129805636253703</v>
      </c>
    </row>
    <row r="45" spans="1:16" x14ac:dyDescent="0.25">
      <c r="A45" t="s">
        <v>55</v>
      </c>
      <c r="B45" s="7">
        <v>46120.974683544293</v>
      </c>
      <c r="C45" t="s">
        <v>134</v>
      </c>
      <c r="D45" t="s">
        <v>173</v>
      </c>
      <c r="E45" t="s">
        <v>177</v>
      </c>
      <c r="F45" t="s">
        <v>180</v>
      </c>
      <c r="G45">
        <v>1</v>
      </c>
      <c r="H45">
        <v>1045</v>
      </c>
      <c r="I45">
        <v>0</v>
      </c>
      <c r="J45" t="s">
        <v>183</v>
      </c>
      <c r="K45">
        <v>1045</v>
      </c>
      <c r="L45">
        <v>785.57</v>
      </c>
      <c r="M45">
        <v>259.43</v>
      </c>
      <c r="N45" t="str">
        <f t="shared" si="3"/>
        <v>April</v>
      </c>
      <c r="O45">
        <f t="shared" si="4"/>
        <v>4</v>
      </c>
      <c r="P45" s="3">
        <f t="shared" si="2"/>
        <v>0.75174162679425838</v>
      </c>
    </row>
    <row r="46" spans="1:16" x14ac:dyDescent="0.25">
      <c r="A46" t="s">
        <v>56</v>
      </c>
      <c r="B46" s="7">
        <v>46123.253164556947</v>
      </c>
      <c r="C46" t="s">
        <v>135</v>
      </c>
      <c r="D46" t="s">
        <v>173</v>
      </c>
      <c r="E46" t="s">
        <v>177</v>
      </c>
      <c r="F46" t="s">
        <v>181</v>
      </c>
      <c r="G46">
        <v>1</v>
      </c>
      <c r="H46">
        <v>1372</v>
      </c>
      <c r="I46">
        <v>15</v>
      </c>
      <c r="J46" t="s">
        <v>182</v>
      </c>
      <c r="K46">
        <v>1166.2</v>
      </c>
      <c r="L46">
        <v>761.05</v>
      </c>
      <c r="M46">
        <v>405.15</v>
      </c>
      <c r="N46" t="str">
        <f t="shared" si="3"/>
        <v>April</v>
      </c>
      <c r="O46">
        <f t="shared" si="4"/>
        <v>4</v>
      </c>
      <c r="P46" s="3">
        <f t="shared" si="2"/>
        <v>0.65258960727147997</v>
      </c>
    </row>
    <row r="47" spans="1:16" x14ac:dyDescent="0.25">
      <c r="A47" t="s">
        <v>57</v>
      </c>
      <c r="B47" s="7">
        <v>46125.531645569623</v>
      </c>
      <c r="C47" t="s">
        <v>136</v>
      </c>
      <c r="D47" t="s">
        <v>174</v>
      </c>
      <c r="E47" t="s">
        <v>176</v>
      </c>
      <c r="F47" t="s">
        <v>179</v>
      </c>
      <c r="G47">
        <v>2</v>
      </c>
      <c r="H47">
        <v>55317</v>
      </c>
      <c r="I47">
        <v>5</v>
      </c>
      <c r="J47" t="s">
        <v>182</v>
      </c>
      <c r="K47">
        <v>105102.3</v>
      </c>
      <c r="L47">
        <v>66646.81</v>
      </c>
      <c r="M47">
        <v>38455.49</v>
      </c>
      <c r="N47" t="str">
        <f t="shared" si="3"/>
        <v>April</v>
      </c>
      <c r="O47">
        <f t="shared" si="4"/>
        <v>4</v>
      </c>
      <c r="P47" s="3">
        <f t="shared" si="2"/>
        <v>0.63411371587491416</v>
      </c>
    </row>
    <row r="48" spans="1:16" x14ac:dyDescent="0.25">
      <c r="A48" t="s">
        <v>58</v>
      </c>
      <c r="B48" s="7">
        <v>46127.81012658227</v>
      </c>
      <c r="C48" t="s">
        <v>137</v>
      </c>
      <c r="D48" t="s">
        <v>173</v>
      </c>
      <c r="E48" t="s">
        <v>177</v>
      </c>
      <c r="F48" t="s">
        <v>179</v>
      </c>
      <c r="G48">
        <v>2</v>
      </c>
      <c r="H48">
        <v>1098</v>
      </c>
      <c r="I48">
        <v>5</v>
      </c>
      <c r="J48" t="s">
        <v>185</v>
      </c>
      <c r="K48">
        <v>2086.1999999999998</v>
      </c>
      <c r="L48">
        <v>1561.49</v>
      </c>
      <c r="M48">
        <v>524.71</v>
      </c>
      <c r="N48" t="str">
        <f t="shared" si="3"/>
        <v>April</v>
      </c>
      <c r="O48">
        <f t="shared" si="4"/>
        <v>4</v>
      </c>
      <c r="P48" s="3">
        <f t="shared" si="2"/>
        <v>0.74848528424887362</v>
      </c>
    </row>
    <row r="49" spans="1:16" x14ac:dyDescent="0.25">
      <c r="A49" t="s">
        <v>59</v>
      </c>
      <c r="B49" s="7">
        <v>46130.088607594931</v>
      </c>
      <c r="C49" t="s">
        <v>138</v>
      </c>
      <c r="D49" t="s">
        <v>171</v>
      </c>
      <c r="E49" t="s">
        <v>177</v>
      </c>
      <c r="F49" t="s">
        <v>178</v>
      </c>
      <c r="G49">
        <v>3</v>
      </c>
      <c r="H49">
        <v>2836</v>
      </c>
      <c r="I49">
        <v>10</v>
      </c>
      <c r="J49" t="s">
        <v>184</v>
      </c>
      <c r="K49">
        <v>7657.2</v>
      </c>
      <c r="L49">
        <v>4788.0600000000004</v>
      </c>
      <c r="M49">
        <v>2869.14</v>
      </c>
      <c r="N49" t="str">
        <f t="shared" si="3"/>
        <v>April</v>
      </c>
      <c r="O49">
        <f t="shared" si="4"/>
        <v>4</v>
      </c>
      <c r="P49" s="3">
        <f t="shared" si="2"/>
        <v>0.62530167685315785</v>
      </c>
    </row>
    <row r="50" spans="1:16" x14ac:dyDescent="0.25">
      <c r="A50" t="s">
        <v>60</v>
      </c>
      <c r="B50" s="7">
        <v>46132.367088607592</v>
      </c>
      <c r="C50" t="s">
        <v>139</v>
      </c>
      <c r="D50" t="s">
        <v>173</v>
      </c>
      <c r="E50" t="s">
        <v>177</v>
      </c>
      <c r="F50" t="s">
        <v>179</v>
      </c>
      <c r="G50">
        <v>4</v>
      </c>
      <c r="H50">
        <v>1279</v>
      </c>
      <c r="I50">
        <v>5</v>
      </c>
      <c r="J50" t="s">
        <v>182</v>
      </c>
      <c r="K50">
        <v>4860.2</v>
      </c>
      <c r="L50">
        <v>3582.72</v>
      </c>
      <c r="M50">
        <v>1277.48</v>
      </c>
      <c r="N50" t="str">
        <f t="shared" si="3"/>
        <v>April</v>
      </c>
      <c r="O50">
        <f t="shared" si="4"/>
        <v>4</v>
      </c>
      <c r="P50" s="3">
        <f t="shared" si="2"/>
        <v>0.73715484959466693</v>
      </c>
    </row>
    <row r="51" spans="1:16" x14ac:dyDescent="0.25">
      <c r="A51" t="s">
        <v>61</v>
      </c>
      <c r="B51" s="7">
        <v>46134.645569620247</v>
      </c>
      <c r="C51" t="s">
        <v>140</v>
      </c>
      <c r="D51" t="s">
        <v>170</v>
      </c>
      <c r="E51" t="s">
        <v>176</v>
      </c>
      <c r="F51" t="s">
        <v>178</v>
      </c>
      <c r="G51">
        <v>2</v>
      </c>
      <c r="H51">
        <v>14148</v>
      </c>
      <c r="I51">
        <v>10</v>
      </c>
      <c r="J51" t="s">
        <v>183</v>
      </c>
      <c r="K51">
        <v>25466.400000000001</v>
      </c>
      <c r="L51">
        <v>20578.02</v>
      </c>
      <c r="M51">
        <v>4888.38</v>
      </c>
      <c r="N51" t="str">
        <f t="shared" si="3"/>
        <v>April</v>
      </c>
      <c r="O51">
        <f t="shared" si="4"/>
        <v>4</v>
      </c>
      <c r="P51" s="3">
        <f t="shared" si="2"/>
        <v>0.80804589576854202</v>
      </c>
    </row>
    <row r="52" spans="1:16" x14ac:dyDescent="0.25">
      <c r="A52" t="s">
        <v>62</v>
      </c>
      <c r="B52" s="7">
        <v>46136.924050632908</v>
      </c>
      <c r="C52" t="s">
        <v>141</v>
      </c>
      <c r="D52" t="s">
        <v>170</v>
      </c>
      <c r="E52" t="s">
        <v>176</v>
      </c>
      <c r="F52" t="s">
        <v>179</v>
      </c>
      <c r="G52">
        <v>1</v>
      </c>
      <c r="H52">
        <v>14296</v>
      </c>
      <c r="I52">
        <v>15</v>
      </c>
      <c r="J52" t="s">
        <v>185</v>
      </c>
      <c r="K52">
        <v>12151.6</v>
      </c>
      <c r="L52">
        <v>8932.58</v>
      </c>
      <c r="M52">
        <v>3219.02</v>
      </c>
      <c r="N52" t="str">
        <f t="shared" si="3"/>
        <v>April</v>
      </c>
      <c r="O52">
        <f t="shared" si="4"/>
        <v>4</v>
      </c>
      <c r="P52" s="3">
        <f t="shared" si="2"/>
        <v>0.73509496691793674</v>
      </c>
    </row>
    <row r="53" spans="1:16" x14ac:dyDescent="0.25">
      <c r="A53" t="s">
        <v>63</v>
      </c>
      <c r="B53" s="7">
        <v>46139.202531645569</v>
      </c>
      <c r="C53" t="s">
        <v>142</v>
      </c>
      <c r="D53" t="s">
        <v>170</v>
      </c>
      <c r="E53" t="s">
        <v>176</v>
      </c>
      <c r="F53" t="s">
        <v>181</v>
      </c>
      <c r="G53">
        <v>4</v>
      </c>
      <c r="H53">
        <v>14101</v>
      </c>
      <c r="I53">
        <v>0</v>
      </c>
      <c r="J53" t="s">
        <v>183</v>
      </c>
      <c r="K53">
        <v>56404</v>
      </c>
      <c r="L53">
        <v>39349.35</v>
      </c>
      <c r="M53">
        <v>17054.650000000001</v>
      </c>
      <c r="N53" t="str">
        <f t="shared" si="3"/>
        <v>April</v>
      </c>
      <c r="O53">
        <f t="shared" si="4"/>
        <v>4</v>
      </c>
      <c r="P53" s="3">
        <f t="shared" si="2"/>
        <v>0.69763403304730154</v>
      </c>
    </row>
    <row r="54" spans="1:16" x14ac:dyDescent="0.25">
      <c r="A54" t="s">
        <v>64</v>
      </c>
      <c r="B54" s="7">
        <v>46141.481012658223</v>
      </c>
      <c r="C54" t="s">
        <v>143</v>
      </c>
      <c r="D54" t="s">
        <v>170</v>
      </c>
      <c r="E54" t="s">
        <v>176</v>
      </c>
      <c r="F54" t="s">
        <v>179</v>
      </c>
      <c r="G54">
        <v>4</v>
      </c>
      <c r="H54">
        <v>13980</v>
      </c>
      <c r="I54">
        <v>0</v>
      </c>
      <c r="J54" t="s">
        <v>183</v>
      </c>
      <c r="K54">
        <v>55920</v>
      </c>
      <c r="L54">
        <v>41864.94</v>
      </c>
      <c r="M54">
        <v>14055.06</v>
      </c>
      <c r="N54" t="str">
        <f t="shared" si="3"/>
        <v>April</v>
      </c>
      <c r="O54">
        <f t="shared" si="4"/>
        <v>4</v>
      </c>
      <c r="P54" s="3">
        <f t="shared" si="2"/>
        <v>0.74865772532188846</v>
      </c>
    </row>
    <row r="55" spans="1:16" x14ac:dyDescent="0.25">
      <c r="A55" t="s">
        <v>65</v>
      </c>
      <c r="B55" s="7">
        <v>46143.759493670877</v>
      </c>
      <c r="C55" t="s">
        <v>144</v>
      </c>
      <c r="D55" t="s">
        <v>171</v>
      </c>
      <c r="E55" t="s">
        <v>177</v>
      </c>
      <c r="F55" t="s">
        <v>178</v>
      </c>
      <c r="G55">
        <v>1</v>
      </c>
      <c r="H55">
        <v>3406</v>
      </c>
      <c r="I55">
        <v>15</v>
      </c>
      <c r="J55" t="s">
        <v>182</v>
      </c>
      <c r="K55">
        <v>2895.1</v>
      </c>
      <c r="L55">
        <v>2060.3000000000002</v>
      </c>
      <c r="M55">
        <v>834.8</v>
      </c>
      <c r="N55" t="str">
        <f t="shared" si="3"/>
        <v>May</v>
      </c>
      <c r="O55">
        <f t="shared" si="4"/>
        <v>5</v>
      </c>
      <c r="P55" s="3">
        <f t="shared" si="2"/>
        <v>0.71165072018237718</v>
      </c>
    </row>
    <row r="56" spans="1:16" x14ac:dyDescent="0.25">
      <c r="A56" t="s">
        <v>66</v>
      </c>
      <c r="B56" s="7">
        <v>46146.037974683539</v>
      </c>
      <c r="C56" t="s">
        <v>145</v>
      </c>
      <c r="D56" t="s">
        <v>172</v>
      </c>
      <c r="E56" t="s">
        <v>177</v>
      </c>
      <c r="F56" t="s">
        <v>178</v>
      </c>
      <c r="G56">
        <v>2</v>
      </c>
      <c r="H56">
        <v>2098</v>
      </c>
      <c r="I56">
        <v>0</v>
      </c>
      <c r="J56" t="s">
        <v>185</v>
      </c>
      <c r="K56">
        <v>4196</v>
      </c>
      <c r="L56">
        <v>3059.4</v>
      </c>
      <c r="M56">
        <v>1136.5999999999999</v>
      </c>
      <c r="N56" t="str">
        <f t="shared" si="3"/>
        <v>May</v>
      </c>
      <c r="O56">
        <f t="shared" si="4"/>
        <v>5</v>
      </c>
      <c r="P56" s="3">
        <f t="shared" si="2"/>
        <v>0.72912297426120121</v>
      </c>
    </row>
    <row r="57" spans="1:16" x14ac:dyDescent="0.25">
      <c r="A57" t="s">
        <v>67</v>
      </c>
      <c r="B57" s="7">
        <v>46148.316455696193</v>
      </c>
      <c r="C57" t="s">
        <v>146</v>
      </c>
      <c r="D57" t="s">
        <v>174</v>
      </c>
      <c r="E57" t="s">
        <v>176</v>
      </c>
      <c r="F57" t="s">
        <v>181</v>
      </c>
      <c r="G57">
        <v>1</v>
      </c>
      <c r="H57">
        <v>55499</v>
      </c>
      <c r="I57">
        <v>15</v>
      </c>
      <c r="J57" t="s">
        <v>186</v>
      </c>
      <c r="K57">
        <v>47174.15</v>
      </c>
      <c r="L57">
        <v>38130.53</v>
      </c>
      <c r="M57">
        <v>9043.6200000000008</v>
      </c>
      <c r="N57" t="str">
        <f t="shared" si="3"/>
        <v>May</v>
      </c>
      <c r="O57">
        <f t="shared" si="4"/>
        <v>5</v>
      </c>
      <c r="P57" s="3">
        <f t="shared" si="2"/>
        <v>0.80829288922004949</v>
      </c>
    </row>
    <row r="58" spans="1:16" x14ac:dyDescent="0.25">
      <c r="A58" t="s">
        <v>68</v>
      </c>
      <c r="B58" s="7">
        <v>46150.594936708847</v>
      </c>
      <c r="C58" t="s">
        <v>147</v>
      </c>
      <c r="D58" t="s">
        <v>170</v>
      </c>
      <c r="E58" t="s">
        <v>176</v>
      </c>
      <c r="F58" t="s">
        <v>179</v>
      </c>
      <c r="G58">
        <v>4</v>
      </c>
      <c r="H58">
        <v>13915</v>
      </c>
      <c r="I58">
        <v>15</v>
      </c>
      <c r="J58" t="s">
        <v>184</v>
      </c>
      <c r="K58">
        <v>47311</v>
      </c>
      <c r="L58">
        <v>32986.199999999997</v>
      </c>
      <c r="M58">
        <v>14324.8</v>
      </c>
      <c r="N58" t="str">
        <f t="shared" si="3"/>
        <v>May</v>
      </c>
      <c r="O58">
        <f t="shared" si="4"/>
        <v>5</v>
      </c>
      <c r="P58" s="3">
        <f t="shared" si="2"/>
        <v>0.69722051954091013</v>
      </c>
    </row>
    <row r="59" spans="1:16" x14ac:dyDescent="0.25">
      <c r="A59" t="s">
        <v>69</v>
      </c>
      <c r="B59" s="7">
        <v>46152.873417721523</v>
      </c>
      <c r="C59" t="s">
        <v>148</v>
      </c>
      <c r="D59" t="s">
        <v>173</v>
      </c>
      <c r="E59" t="s">
        <v>177</v>
      </c>
      <c r="F59" t="s">
        <v>179</v>
      </c>
      <c r="G59">
        <v>5</v>
      </c>
      <c r="H59">
        <v>1190</v>
      </c>
      <c r="I59">
        <v>15</v>
      </c>
      <c r="J59" t="s">
        <v>182</v>
      </c>
      <c r="K59">
        <v>5057.5</v>
      </c>
      <c r="L59">
        <v>4107.8900000000003</v>
      </c>
      <c r="M59">
        <v>949.61</v>
      </c>
      <c r="N59" t="str">
        <f t="shared" si="3"/>
        <v>May</v>
      </c>
      <c r="O59">
        <f t="shared" si="4"/>
        <v>5</v>
      </c>
      <c r="P59" s="3">
        <f t="shared" si="2"/>
        <v>0.81223727137913992</v>
      </c>
    </row>
    <row r="60" spans="1:16" x14ac:dyDescent="0.25">
      <c r="A60" t="s">
        <v>70</v>
      </c>
      <c r="B60" s="7">
        <v>46155.15189873417</v>
      </c>
      <c r="C60" t="s">
        <v>149</v>
      </c>
      <c r="D60" t="s">
        <v>170</v>
      </c>
      <c r="E60" t="s">
        <v>176</v>
      </c>
      <c r="F60" t="s">
        <v>181</v>
      </c>
      <c r="G60">
        <v>5</v>
      </c>
      <c r="H60">
        <v>14052</v>
      </c>
      <c r="I60">
        <v>0</v>
      </c>
      <c r="J60" t="s">
        <v>182</v>
      </c>
      <c r="K60">
        <v>70260</v>
      </c>
      <c r="L60">
        <v>56283.19</v>
      </c>
      <c r="M60">
        <v>13976.81</v>
      </c>
      <c r="N60" t="str">
        <f t="shared" si="3"/>
        <v>May</v>
      </c>
      <c r="O60">
        <f t="shared" si="4"/>
        <v>5</v>
      </c>
      <c r="P60" s="3">
        <f t="shared" si="2"/>
        <v>0.8010701679476232</v>
      </c>
    </row>
    <row r="61" spans="1:16" x14ac:dyDescent="0.25">
      <c r="A61" t="s">
        <v>71</v>
      </c>
      <c r="B61" s="7">
        <v>46157.430379746831</v>
      </c>
      <c r="C61" t="s">
        <v>150</v>
      </c>
      <c r="D61" t="s">
        <v>173</v>
      </c>
      <c r="E61" t="s">
        <v>177</v>
      </c>
      <c r="F61" t="s">
        <v>179</v>
      </c>
      <c r="G61">
        <v>3</v>
      </c>
      <c r="H61">
        <v>1160</v>
      </c>
      <c r="I61">
        <v>10</v>
      </c>
      <c r="J61" t="s">
        <v>185</v>
      </c>
      <c r="K61">
        <v>3132</v>
      </c>
      <c r="L61">
        <v>2064.48</v>
      </c>
      <c r="M61">
        <v>1067.52</v>
      </c>
      <c r="N61" t="str">
        <f t="shared" si="3"/>
        <v>May</v>
      </c>
      <c r="O61">
        <f t="shared" si="4"/>
        <v>5</v>
      </c>
      <c r="P61" s="3">
        <f t="shared" si="2"/>
        <v>0.65915708812260532</v>
      </c>
    </row>
    <row r="62" spans="1:16" x14ac:dyDescent="0.25">
      <c r="A62" t="s">
        <v>72</v>
      </c>
      <c r="B62" s="7">
        <v>46159.708860759492</v>
      </c>
      <c r="C62" t="s">
        <v>151</v>
      </c>
      <c r="D62" t="s">
        <v>173</v>
      </c>
      <c r="E62" t="s">
        <v>177</v>
      </c>
      <c r="F62" t="s">
        <v>179</v>
      </c>
      <c r="G62">
        <v>1</v>
      </c>
      <c r="H62">
        <v>1255</v>
      </c>
      <c r="I62">
        <v>15</v>
      </c>
      <c r="J62" t="s">
        <v>184</v>
      </c>
      <c r="K62">
        <v>1066.75</v>
      </c>
      <c r="L62">
        <v>676.18</v>
      </c>
      <c r="M62">
        <v>390.57</v>
      </c>
      <c r="N62" t="str">
        <f t="shared" si="3"/>
        <v>May</v>
      </c>
      <c r="O62">
        <f t="shared" si="4"/>
        <v>5</v>
      </c>
      <c r="P62" s="3">
        <f t="shared" si="2"/>
        <v>0.6338692289664869</v>
      </c>
    </row>
    <row r="63" spans="1:16" x14ac:dyDescent="0.25">
      <c r="A63" t="s">
        <v>73</v>
      </c>
      <c r="B63" s="7">
        <v>46161.987341772139</v>
      </c>
      <c r="C63" t="s">
        <v>152</v>
      </c>
      <c r="D63" t="s">
        <v>170</v>
      </c>
      <c r="E63" t="s">
        <v>176</v>
      </c>
      <c r="F63" t="s">
        <v>178</v>
      </c>
      <c r="G63">
        <v>1</v>
      </c>
      <c r="H63">
        <v>14122</v>
      </c>
      <c r="I63">
        <v>5</v>
      </c>
      <c r="J63" t="s">
        <v>184</v>
      </c>
      <c r="K63">
        <v>13415.9</v>
      </c>
      <c r="L63">
        <v>8588.26</v>
      </c>
      <c r="M63">
        <v>4827.6400000000003</v>
      </c>
      <c r="N63" t="str">
        <f t="shared" si="3"/>
        <v>May</v>
      </c>
      <c r="O63">
        <f t="shared" si="4"/>
        <v>5</v>
      </c>
      <c r="P63" s="3">
        <f t="shared" si="2"/>
        <v>0.64015533806900771</v>
      </c>
    </row>
    <row r="64" spans="1:16" x14ac:dyDescent="0.25">
      <c r="A64" t="s">
        <v>74</v>
      </c>
      <c r="B64" s="7">
        <v>46164.265822784801</v>
      </c>
      <c r="C64" t="s">
        <v>153</v>
      </c>
      <c r="D64" t="s">
        <v>171</v>
      </c>
      <c r="E64" t="s">
        <v>177</v>
      </c>
      <c r="F64" t="s">
        <v>179</v>
      </c>
      <c r="G64">
        <v>3</v>
      </c>
      <c r="H64">
        <v>2927</v>
      </c>
      <c r="I64">
        <v>0</v>
      </c>
      <c r="J64" t="s">
        <v>184</v>
      </c>
      <c r="K64">
        <v>8781</v>
      </c>
      <c r="L64">
        <v>5476.22</v>
      </c>
      <c r="M64">
        <v>3304.78</v>
      </c>
      <c r="N64" t="str">
        <f t="shared" si="3"/>
        <v>May</v>
      </c>
      <c r="O64">
        <f t="shared" si="4"/>
        <v>5</v>
      </c>
      <c r="P64" s="3">
        <f t="shared" si="2"/>
        <v>0.62364423186425244</v>
      </c>
    </row>
    <row r="65" spans="1:16" x14ac:dyDescent="0.25">
      <c r="A65" t="s">
        <v>75</v>
      </c>
      <c r="B65" s="7">
        <v>46166.544303797462</v>
      </c>
      <c r="C65" t="s">
        <v>154</v>
      </c>
      <c r="D65" t="s">
        <v>173</v>
      </c>
      <c r="E65" t="s">
        <v>177</v>
      </c>
      <c r="F65" t="s">
        <v>179</v>
      </c>
      <c r="G65">
        <v>3</v>
      </c>
      <c r="H65">
        <v>1017</v>
      </c>
      <c r="I65">
        <v>15</v>
      </c>
      <c r="J65" t="s">
        <v>183</v>
      </c>
      <c r="K65">
        <v>2593.35</v>
      </c>
      <c r="L65">
        <v>1656.86</v>
      </c>
      <c r="M65">
        <v>936.49</v>
      </c>
      <c r="N65" t="str">
        <f t="shared" si="3"/>
        <v>May</v>
      </c>
      <c r="O65">
        <f t="shared" si="4"/>
        <v>5</v>
      </c>
      <c r="P65" s="3">
        <f t="shared" si="2"/>
        <v>0.63888792488480151</v>
      </c>
    </row>
    <row r="66" spans="1:16" x14ac:dyDescent="0.25">
      <c r="A66" t="s">
        <v>76</v>
      </c>
      <c r="B66" s="7">
        <v>46168.822784810123</v>
      </c>
      <c r="C66" t="s">
        <v>155</v>
      </c>
      <c r="D66" t="s">
        <v>173</v>
      </c>
      <c r="E66" t="s">
        <v>177</v>
      </c>
      <c r="F66" t="s">
        <v>181</v>
      </c>
      <c r="G66">
        <v>3</v>
      </c>
      <c r="H66">
        <v>1565</v>
      </c>
      <c r="I66">
        <v>15</v>
      </c>
      <c r="J66" t="s">
        <v>184</v>
      </c>
      <c r="K66">
        <v>3990.75</v>
      </c>
      <c r="L66">
        <v>3019.41</v>
      </c>
      <c r="M66">
        <v>971.34</v>
      </c>
      <c r="N66" t="str">
        <f t="shared" ref="N66:N81" si="5">TEXT(B66,"mmmm")</f>
        <v>May</v>
      </c>
      <c r="O66">
        <f t="shared" ref="O66:O81" si="6">MONTH(B66)</f>
        <v>5</v>
      </c>
      <c r="P66" s="3">
        <f t="shared" si="2"/>
        <v>0.75660214245442581</v>
      </c>
    </row>
    <row r="67" spans="1:16" x14ac:dyDescent="0.25">
      <c r="A67" t="s">
        <v>77</v>
      </c>
      <c r="B67" s="7">
        <v>46171.101265822777</v>
      </c>
      <c r="C67" t="s">
        <v>156</v>
      </c>
      <c r="D67" t="s">
        <v>170</v>
      </c>
      <c r="E67" t="s">
        <v>176</v>
      </c>
      <c r="F67" t="s">
        <v>181</v>
      </c>
      <c r="G67">
        <v>4</v>
      </c>
      <c r="H67">
        <v>14369</v>
      </c>
      <c r="I67">
        <v>5</v>
      </c>
      <c r="J67" t="s">
        <v>183</v>
      </c>
      <c r="K67">
        <v>54602.2</v>
      </c>
      <c r="L67">
        <v>34630.78</v>
      </c>
      <c r="M67">
        <v>19971.419999999998</v>
      </c>
      <c r="N67" t="str">
        <f t="shared" si="5"/>
        <v>May</v>
      </c>
      <c r="O67">
        <f t="shared" si="6"/>
        <v>5</v>
      </c>
      <c r="P67" s="3">
        <f t="shared" ref="P67:P81" si="7">L67/K67</f>
        <v>0.63423781459355122</v>
      </c>
    </row>
    <row r="68" spans="1:16" x14ac:dyDescent="0.25">
      <c r="A68" t="s">
        <v>78</v>
      </c>
      <c r="B68" s="7">
        <v>46173.379746835439</v>
      </c>
      <c r="C68" t="s">
        <v>157</v>
      </c>
      <c r="D68" t="s">
        <v>173</v>
      </c>
      <c r="E68" t="s">
        <v>177</v>
      </c>
      <c r="F68" t="s">
        <v>180</v>
      </c>
      <c r="G68">
        <v>1</v>
      </c>
      <c r="H68">
        <f>K68/(G68*(1-168/100))</f>
        <v>-1749.7058823529412</v>
      </c>
      <c r="I68">
        <v>10</v>
      </c>
      <c r="J68" t="s">
        <v>185</v>
      </c>
      <c r="K68">
        <v>1189.8</v>
      </c>
      <c r="L68">
        <v>813.58</v>
      </c>
      <c r="M68">
        <v>376.22</v>
      </c>
      <c r="N68" t="str">
        <f t="shared" si="5"/>
        <v>May</v>
      </c>
      <c r="O68">
        <f t="shared" si="6"/>
        <v>5</v>
      </c>
      <c r="P68" s="3">
        <f t="shared" si="7"/>
        <v>0.68379559589847039</v>
      </c>
    </row>
    <row r="69" spans="1:16" x14ac:dyDescent="0.25">
      <c r="A69" t="s">
        <v>79</v>
      </c>
      <c r="B69" s="7">
        <v>46175.658227848093</v>
      </c>
      <c r="C69" t="s">
        <v>158</v>
      </c>
      <c r="D69" t="s">
        <v>173</v>
      </c>
      <c r="E69" t="s">
        <v>177</v>
      </c>
      <c r="F69" t="s">
        <v>178</v>
      </c>
      <c r="G69">
        <v>4</v>
      </c>
      <c r="H69">
        <v>1685</v>
      </c>
      <c r="I69">
        <v>10</v>
      </c>
      <c r="J69" t="s">
        <v>183</v>
      </c>
      <c r="K69">
        <v>6066</v>
      </c>
      <c r="L69">
        <v>4785.92</v>
      </c>
      <c r="M69">
        <v>1280.08</v>
      </c>
      <c r="N69" t="str">
        <f t="shared" si="5"/>
        <v>June</v>
      </c>
      <c r="O69">
        <f t="shared" si="6"/>
        <v>6</v>
      </c>
      <c r="P69" s="3">
        <f t="shared" si="7"/>
        <v>0.78897461259479063</v>
      </c>
    </row>
    <row r="70" spans="1:16" x14ac:dyDescent="0.25">
      <c r="A70" t="s">
        <v>80</v>
      </c>
      <c r="B70" s="7">
        <v>46177.936708860747</v>
      </c>
      <c r="C70" t="s">
        <v>159</v>
      </c>
      <c r="D70" t="s">
        <v>170</v>
      </c>
      <c r="E70" t="s">
        <v>176</v>
      </c>
      <c r="F70" t="s">
        <v>179</v>
      </c>
      <c r="G70">
        <v>3</v>
      </c>
      <c r="H70">
        <v>14425</v>
      </c>
      <c r="I70">
        <v>10</v>
      </c>
      <c r="J70" t="s">
        <v>185</v>
      </c>
      <c r="K70">
        <v>38947.5</v>
      </c>
      <c r="L70">
        <v>24328.73</v>
      </c>
      <c r="M70">
        <v>14618.77</v>
      </c>
      <c r="N70" t="str">
        <f t="shared" si="5"/>
        <v>June</v>
      </c>
      <c r="O70">
        <f t="shared" si="6"/>
        <v>6</v>
      </c>
      <c r="P70" s="3">
        <f t="shared" si="7"/>
        <v>0.62465447076192304</v>
      </c>
    </row>
    <row r="71" spans="1:16" x14ac:dyDescent="0.25">
      <c r="A71" t="s">
        <v>81</v>
      </c>
      <c r="B71" s="7">
        <v>46180.215189873423</v>
      </c>
      <c r="C71" t="s">
        <v>160</v>
      </c>
      <c r="D71" t="s">
        <v>170</v>
      </c>
      <c r="E71" t="s">
        <v>176</v>
      </c>
      <c r="F71" t="s">
        <v>179</v>
      </c>
      <c r="G71">
        <v>1</v>
      </c>
      <c r="H71">
        <v>14087</v>
      </c>
      <c r="I71">
        <v>15</v>
      </c>
      <c r="J71" t="s">
        <v>184</v>
      </c>
      <c r="K71">
        <v>11973.95</v>
      </c>
      <c r="L71">
        <v>9374.33</v>
      </c>
      <c r="M71">
        <v>2599.62</v>
      </c>
      <c r="N71" t="str">
        <f t="shared" si="5"/>
        <v>June</v>
      </c>
      <c r="O71">
        <f t="shared" si="6"/>
        <v>6</v>
      </c>
      <c r="P71" s="3">
        <f t="shared" si="7"/>
        <v>0.78289369840361778</v>
      </c>
    </row>
    <row r="72" spans="1:16" x14ac:dyDescent="0.25">
      <c r="A72" t="s">
        <v>82</v>
      </c>
      <c r="B72" s="7">
        <v>46182.493670886062</v>
      </c>
      <c r="C72" t="s">
        <v>188</v>
      </c>
      <c r="D72" t="s">
        <v>174</v>
      </c>
      <c r="E72" t="s">
        <v>176</v>
      </c>
      <c r="F72" t="s">
        <v>180</v>
      </c>
      <c r="G72">
        <v>4</v>
      </c>
      <c r="H72">
        <v>55462</v>
      </c>
      <c r="I72">
        <v>15</v>
      </c>
      <c r="J72" t="s">
        <v>184</v>
      </c>
      <c r="K72">
        <v>188570.8</v>
      </c>
      <c r="L72">
        <v>127543.81</v>
      </c>
      <c r="M72">
        <v>61026.99</v>
      </c>
      <c r="N72" t="str">
        <f t="shared" si="5"/>
        <v>June</v>
      </c>
      <c r="O72">
        <f t="shared" si="6"/>
        <v>6</v>
      </c>
      <c r="P72" s="3">
        <f t="shared" si="7"/>
        <v>0.67637094396375264</v>
      </c>
    </row>
    <row r="73" spans="1:16" x14ac:dyDescent="0.25">
      <c r="A73" t="s">
        <v>83</v>
      </c>
      <c r="B73" s="7">
        <v>46184.772151898716</v>
      </c>
      <c r="C73" t="s">
        <v>161</v>
      </c>
      <c r="D73" t="s">
        <v>171</v>
      </c>
      <c r="E73" t="s">
        <v>177</v>
      </c>
      <c r="F73" t="s">
        <v>179</v>
      </c>
      <c r="G73">
        <v>4</v>
      </c>
      <c r="H73">
        <v>3438</v>
      </c>
      <c r="I73">
        <v>15</v>
      </c>
      <c r="J73" t="s">
        <v>185</v>
      </c>
      <c r="K73">
        <v>11689.2</v>
      </c>
      <c r="L73">
        <v>7523.55</v>
      </c>
      <c r="M73">
        <v>4165.6499999999996</v>
      </c>
      <c r="N73" t="str">
        <f t="shared" si="5"/>
        <v>June</v>
      </c>
      <c r="O73">
        <f t="shared" si="6"/>
        <v>6</v>
      </c>
      <c r="P73" s="3">
        <f t="shared" si="7"/>
        <v>0.64363258392362177</v>
      </c>
    </row>
    <row r="74" spans="1:16" x14ac:dyDescent="0.25">
      <c r="A74" t="s">
        <v>84</v>
      </c>
      <c r="B74" s="7">
        <v>46187.050632911392</v>
      </c>
      <c r="C74" t="s">
        <v>162</v>
      </c>
      <c r="D74" t="s">
        <v>171</v>
      </c>
      <c r="E74" t="s">
        <v>177</v>
      </c>
      <c r="F74" t="s">
        <v>178</v>
      </c>
      <c r="G74">
        <v>3</v>
      </c>
      <c r="H74">
        <v>2954</v>
      </c>
      <c r="I74">
        <v>0</v>
      </c>
      <c r="J74" t="s">
        <v>182</v>
      </c>
      <c r="K74">
        <v>8862</v>
      </c>
      <c r="L74">
        <v>6729.34</v>
      </c>
      <c r="M74">
        <v>2132.66</v>
      </c>
      <c r="N74" t="str">
        <f t="shared" si="5"/>
        <v>June</v>
      </c>
      <c r="O74">
        <f t="shared" si="6"/>
        <v>6</v>
      </c>
      <c r="P74" s="3">
        <f t="shared" si="7"/>
        <v>0.75934777702550216</v>
      </c>
    </row>
    <row r="75" spans="1:16" x14ac:dyDescent="0.25">
      <c r="A75" t="s">
        <v>85</v>
      </c>
      <c r="B75" s="7">
        <v>46189.329113924039</v>
      </c>
      <c r="C75" t="s">
        <v>163</v>
      </c>
      <c r="D75" t="s">
        <v>173</v>
      </c>
      <c r="E75" t="s">
        <v>177</v>
      </c>
      <c r="F75" t="s">
        <v>180</v>
      </c>
      <c r="G75">
        <v>1</v>
      </c>
      <c r="H75">
        <v>1489</v>
      </c>
      <c r="I75">
        <v>5</v>
      </c>
      <c r="J75" t="s">
        <v>185</v>
      </c>
      <c r="K75">
        <v>1414.55</v>
      </c>
      <c r="L75">
        <v>1054.96</v>
      </c>
      <c r="M75">
        <v>359.59</v>
      </c>
      <c r="N75" t="str">
        <f t="shared" si="5"/>
        <v>June</v>
      </c>
      <c r="O75">
        <f t="shared" si="6"/>
        <v>6</v>
      </c>
      <c r="P75" s="3">
        <f t="shared" si="7"/>
        <v>0.74579194796931891</v>
      </c>
    </row>
    <row r="76" spans="1:16" x14ac:dyDescent="0.25">
      <c r="A76" t="s">
        <v>86</v>
      </c>
      <c r="B76" s="7">
        <v>46191.6075949367</v>
      </c>
      <c r="C76" t="s">
        <v>164</v>
      </c>
      <c r="D76" t="s">
        <v>171</v>
      </c>
      <c r="E76" t="s">
        <v>177</v>
      </c>
      <c r="F76" t="s">
        <v>178</v>
      </c>
      <c r="G76">
        <v>3</v>
      </c>
      <c r="H76">
        <v>3185</v>
      </c>
      <c r="I76">
        <v>15</v>
      </c>
      <c r="J76" t="s">
        <v>182</v>
      </c>
      <c r="K76">
        <v>8121.75</v>
      </c>
      <c r="L76">
        <v>6460.81</v>
      </c>
      <c r="M76">
        <v>1660.94</v>
      </c>
      <c r="N76" t="str">
        <f t="shared" si="5"/>
        <v>June</v>
      </c>
      <c r="O76">
        <f t="shared" si="6"/>
        <v>6</v>
      </c>
      <c r="P76" s="3">
        <f t="shared" si="7"/>
        <v>0.79549481330993943</v>
      </c>
    </row>
    <row r="77" spans="1:16" x14ac:dyDescent="0.25">
      <c r="A77" t="s">
        <v>87</v>
      </c>
      <c r="B77" s="7">
        <v>46193.886075949362</v>
      </c>
      <c r="C77" t="s">
        <v>165</v>
      </c>
      <c r="D77" t="s">
        <v>173</v>
      </c>
      <c r="E77" t="s">
        <v>177</v>
      </c>
      <c r="F77" t="s">
        <v>180</v>
      </c>
      <c r="G77">
        <v>1</v>
      </c>
      <c r="H77">
        <v>1103</v>
      </c>
      <c r="I77">
        <v>5</v>
      </c>
      <c r="J77" t="s">
        <v>183</v>
      </c>
      <c r="K77">
        <v>1047.8499999999999</v>
      </c>
      <c r="L77">
        <v>803.72</v>
      </c>
      <c r="M77">
        <v>244.13</v>
      </c>
      <c r="N77" t="str">
        <f t="shared" si="5"/>
        <v>June</v>
      </c>
      <c r="O77">
        <f t="shared" si="6"/>
        <v>6</v>
      </c>
      <c r="P77" s="3">
        <f t="shared" si="7"/>
        <v>0.76701818008302725</v>
      </c>
    </row>
    <row r="78" spans="1:16" x14ac:dyDescent="0.25">
      <c r="A78" t="s">
        <v>88</v>
      </c>
      <c r="B78" s="7">
        <v>46196.164556962023</v>
      </c>
      <c r="C78" t="s">
        <v>166</v>
      </c>
      <c r="D78" t="s">
        <v>174</v>
      </c>
      <c r="E78" t="s">
        <v>176</v>
      </c>
      <c r="F78" t="s">
        <v>180</v>
      </c>
      <c r="G78">
        <v>5</v>
      </c>
      <c r="H78">
        <v>55192</v>
      </c>
      <c r="I78">
        <v>5</v>
      </c>
      <c r="J78" t="s">
        <v>183</v>
      </c>
      <c r="K78">
        <v>262162</v>
      </c>
      <c r="L78">
        <v>204668.87</v>
      </c>
      <c r="M78">
        <v>57493.13</v>
      </c>
      <c r="N78" t="str">
        <f t="shared" si="5"/>
        <v>June</v>
      </c>
      <c r="O78">
        <f t="shared" si="6"/>
        <v>6</v>
      </c>
      <c r="P78" s="3">
        <f t="shared" si="7"/>
        <v>0.78069617259557067</v>
      </c>
    </row>
    <row r="79" spans="1:16" x14ac:dyDescent="0.25">
      <c r="A79" t="s">
        <v>89</v>
      </c>
      <c r="B79" s="7">
        <v>46198.443037974677</v>
      </c>
      <c r="C79" t="s">
        <v>167</v>
      </c>
      <c r="D79" t="s">
        <v>170</v>
      </c>
      <c r="E79" t="s">
        <v>176</v>
      </c>
      <c r="F79" t="s">
        <v>181</v>
      </c>
      <c r="G79">
        <v>2</v>
      </c>
      <c r="H79">
        <v>14045</v>
      </c>
      <c r="I79">
        <v>10</v>
      </c>
      <c r="J79" t="s">
        <v>183</v>
      </c>
      <c r="K79">
        <v>25281</v>
      </c>
      <c r="L79">
        <v>17100.240000000002</v>
      </c>
      <c r="M79">
        <v>8180.76</v>
      </c>
      <c r="N79" t="str">
        <f t="shared" si="5"/>
        <v>June</v>
      </c>
      <c r="O79">
        <f t="shared" si="6"/>
        <v>6</v>
      </c>
      <c r="P79" s="3">
        <f t="shared" si="7"/>
        <v>0.67640678770618257</v>
      </c>
    </row>
    <row r="80" spans="1:16" x14ac:dyDescent="0.25">
      <c r="A80" t="s">
        <v>90</v>
      </c>
      <c r="B80" s="7">
        <v>46200.721518987339</v>
      </c>
      <c r="C80" t="s">
        <v>168</v>
      </c>
      <c r="D80" t="s">
        <v>170</v>
      </c>
      <c r="E80" t="s">
        <v>176</v>
      </c>
      <c r="F80" t="s">
        <v>178</v>
      </c>
      <c r="G80">
        <v>2</v>
      </c>
      <c r="H80">
        <v>13975</v>
      </c>
      <c r="I80">
        <v>0</v>
      </c>
      <c r="J80" t="s">
        <v>184</v>
      </c>
      <c r="K80">
        <v>27950</v>
      </c>
      <c r="L80">
        <v>18320.89</v>
      </c>
      <c r="M80">
        <v>9629.11</v>
      </c>
      <c r="N80" t="str">
        <f t="shared" si="5"/>
        <v>June</v>
      </c>
      <c r="O80">
        <f t="shared" si="6"/>
        <v>6</v>
      </c>
      <c r="P80" s="3">
        <f t="shared" si="7"/>
        <v>0.65548801431127013</v>
      </c>
    </row>
    <row r="81" spans="1:16" x14ac:dyDescent="0.25">
      <c r="A81" t="s">
        <v>91</v>
      </c>
      <c r="B81" s="7">
        <v>46203</v>
      </c>
      <c r="C81" t="s">
        <v>169</v>
      </c>
      <c r="D81" t="s">
        <v>170</v>
      </c>
      <c r="E81" t="s">
        <v>176</v>
      </c>
      <c r="F81" t="s">
        <v>179</v>
      </c>
      <c r="G81">
        <v>2</v>
      </c>
      <c r="H81">
        <v>13838</v>
      </c>
      <c r="I81">
        <v>15</v>
      </c>
      <c r="J81" t="s">
        <v>183</v>
      </c>
      <c r="K81">
        <v>23524.6</v>
      </c>
      <c r="L81">
        <v>18116.830000000002</v>
      </c>
      <c r="M81">
        <v>5407.77</v>
      </c>
      <c r="N81" t="str">
        <f t="shared" si="5"/>
        <v>June</v>
      </c>
      <c r="O81">
        <f t="shared" si="6"/>
        <v>6</v>
      </c>
      <c r="P81" s="3">
        <f t="shared" si="7"/>
        <v>0.77012276510546418</v>
      </c>
    </row>
    <row r="82" spans="1:16" x14ac:dyDescent="0.25">
      <c r="D82" t="s">
        <v>200</v>
      </c>
    </row>
    <row r="83" spans="1:16" x14ac:dyDescent="0.25">
      <c r="D83" t="s">
        <v>200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Ofsys</dc:creator>
  <cp:lastModifiedBy>HP</cp:lastModifiedBy>
  <dcterms:created xsi:type="dcterms:W3CDTF">2026-09-18T00:21:58Z</dcterms:created>
  <dcterms:modified xsi:type="dcterms:W3CDTF">2026-09-23T03:48:53Z</dcterms:modified>
</cp:coreProperties>
</file>